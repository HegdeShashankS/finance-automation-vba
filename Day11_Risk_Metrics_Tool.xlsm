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6994fdd55ba896f/Documents/"/>
    </mc:Choice>
  </mc:AlternateContent>
  <xr:revisionPtr revIDLastSave="3" documentId="8_{48733D2A-0482-4B09-9676-9A6DC20BC0AB}" xr6:coauthVersionLast="47" xr6:coauthVersionMax="47" xr10:uidLastSave="{2BB783D9-6E88-4150-9B85-62B76E47DF14}"/>
  <bookViews>
    <workbookView xWindow="0" yWindow="528" windowWidth="23040" windowHeight="11712" xr2:uid="{8521FAF1-7AAC-434A-B577-9FCDB788129C}"/>
  </bookViews>
  <sheets>
    <sheet name="NAV_Data" sheetId="1" r:id="rId1"/>
    <sheet name="SIP_Calculator" sheetId="2" r:id="rId2"/>
  </sheets>
  <definedNames>
    <definedName name="_xlnm._FilterDatabase" localSheetId="0" hidden="1">NAV_Data!$A$1:$C$63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1" l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2" i="1"/>
</calcChain>
</file>

<file path=xl/sharedStrings.xml><?xml version="1.0" encoding="utf-8"?>
<sst xmlns="http://schemas.openxmlformats.org/spreadsheetml/2006/main" count="12" uniqueCount="12">
  <si>
    <t>Net Asset Value</t>
  </si>
  <si>
    <t>Date</t>
  </si>
  <si>
    <t>SIP Amount</t>
  </si>
  <si>
    <t>Lumpsum Amount</t>
  </si>
  <si>
    <t>SIP Final Value</t>
  </si>
  <si>
    <t>Lumpsum FInal Value</t>
  </si>
  <si>
    <t>Lumpsum performed better</t>
  </si>
  <si>
    <t>1 Yr Rolling Return</t>
  </si>
  <si>
    <t>Daily Returns</t>
  </si>
  <si>
    <t>Avg Return</t>
  </si>
  <si>
    <t>Std Dev</t>
  </si>
  <si>
    <t>Sharpe Ratio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</si>
</sst>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dd\-mmm\-yyyy"/>
    <numFmt numFmtId="167" formatCode="0.0000%"/>
    <numFmt numFmtId="168" formatCode="0.0000"/>
  </numFmts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10">
    <xf numFmtId="0" fontId="0" fillId="0" borderId="0" xfId="0"/>
    <xf numFmtId="164" fontId="0" fillId="0" borderId="0" xfId="0" applyNumberFormat="1"/>
    <xf numFmtId="2" fontId="0" fillId="0" borderId="0" xfId="0" applyNumberFormat="1"/>
    <xf numFmtId="0" fontId="0" fillId="0" borderId="1" xfId="0" applyBorder="1"/>
    <xf numFmtId="0" fontId="2" fillId="0" borderId="1" xfId="0" applyFont="1" applyBorder="1"/>
    <xf numFmtId="10" fontId="0" fillId="0" borderId="0" xfId="1" applyNumberFormat="1" applyFont="1"/>
    <xf numFmtId="167" fontId="0" fillId="0" borderId="0" xfId="0" applyNumberFormat="1"/>
    <xf numFmtId="167" fontId="0" fillId="0" borderId="0" xfId="1" applyNumberFormat="1" applyFont="1"/>
    <xf numFmtId="168" fontId="0" fillId="0" borderId="0" xfId="0" applyNumberFormat="1"/>
    <xf numFmtId="168" fontId="0" fillId="0" borderId="0" xfId="1" applyNumberFormat="1" applyFont="1"/>
  </cellXfs>
  <cellStyles count="2">
    <cellStyle name="Normal" xfId="0" builtinId="0"/>
    <cellStyle name="Percent" xfId="1" builtinId="5"/>
  </cellStyles>
  <dxfs count="0"/>
  <tableStyles count="1" defaultTableStyle="TableStyleMedium2" defaultPivotStyle="PivotStyleLight16">
    <tableStyle name="Invisible" pivot="0" table="0" count="0" xr9:uid="{E7B4C694-8975-48FA-B698-9029DB3928CC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NAV_Data!$C$1</c:f>
              <c:strCache>
                <c:ptCount val="1"/>
                <c:pt idx="0">
                  <c:v>1 Yr Rolling Return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NAV_Data!$A$2:$A$125</c:f>
              <c:numCache>
                <c:formatCode>dd\-mmm\-yyyy</c:formatCode>
                <c:ptCount val="124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45663</c:v>
                </c:pt>
                <c:pt idx="4">
                  <c:v>45664</c:v>
                </c:pt>
                <c:pt idx="5">
                  <c:v>45665</c:v>
                </c:pt>
                <c:pt idx="6">
                  <c:v>45666</c:v>
                </c:pt>
                <c:pt idx="7">
                  <c:v>45667</c:v>
                </c:pt>
                <c:pt idx="8">
                  <c:v>45670</c:v>
                </c:pt>
                <c:pt idx="9">
                  <c:v>45671</c:v>
                </c:pt>
                <c:pt idx="10">
                  <c:v>45672</c:v>
                </c:pt>
                <c:pt idx="11">
                  <c:v>45673</c:v>
                </c:pt>
                <c:pt idx="12">
                  <c:v>45674</c:v>
                </c:pt>
                <c:pt idx="13">
                  <c:v>45677</c:v>
                </c:pt>
                <c:pt idx="14">
                  <c:v>45678</c:v>
                </c:pt>
                <c:pt idx="15">
                  <c:v>45679</c:v>
                </c:pt>
                <c:pt idx="16">
                  <c:v>45680</c:v>
                </c:pt>
                <c:pt idx="17">
                  <c:v>45681</c:v>
                </c:pt>
                <c:pt idx="18">
                  <c:v>45684</c:v>
                </c:pt>
                <c:pt idx="19">
                  <c:v>45685</c:v>
                </c:pt>
                <c:pt idx="20">
                  <c:v>45686</c:v>
                </c:pt>
                <c:pt idx="21">
                  <c:v>45687</c:v>
                </c:pt>
                <c:pt idx="22">
                  <c:v>45688</c:v>
                </c:pt>
                <c:pt idx="23">
                  <c:v>45691</c:v>
                </c:pt>
                <c:pt idx="24">
                  <c:v>45692</c:v>
                </c:pt>
                <c:pt idx="25">
                  <c:v>45693</c:v>
                </c:pt>
                <c:pt idx="26">
                  <c:v>45694</c:v>
                </c:pt>
                <c:pt idx="27">
                  <c:v>45695</c:v>
                </c:pt>
                <c:pt idx="28">
                  <c:v>45698</c:v>
                </c:pt>
                <c:pt idx="29">
                  <c:v>45699</c:v>
                </c:pt>
                <c:pt idx="30">
                  <c:v>45700</c:v>
                </c:pt>
                <c:pt idx="31">
                  <c:v>45701</c:v>
                </c:pt>
                <c:pt idx="32">
                  <c:v>45702</c:v>
                </c:pt>
                <c:pt idx="33">
                  <c:v>45705</c:v>
                </c:pt>
                <c:pt idx="34">
                  <c:v>45706</c:v>
                </c:pt>
                <c:pt idx="35">
                  <c:v>45707</c:v>
                </c:pt>
                <c:pt idx="36">
                  <c:v>45708</c:v>
                </c:pt>
                <c:pt idx="37">
                  <c:v>45709</c:v>
                </c:pt>
                <c:pt idx="38">
                  <c:v>45712</c:v>
                </c:pt>
                <c:pt idx="39">
                  <c:v>45713</c:v>
                </c:pt>
                <c:pt idx="40">
                  <c:v>45715</c:v>
                </c:pt>
                <c:pt idx="41">
                  <c:v>45716</c:v>
                </c:pt>
                <c:pt idx="42">
                  <c:v>45719</c:v>
                </c:pt>
                <c:pt idx="43">
                  <c:v>45720</c:v>
                </c:pt>
                <c:pt idx="44">
                  <c:v>45721</c:v>
                </c:pt>
                <c:pt idx="45">
                  <c:v>45722</c:v>
                </c:pt>
                <c:pt idx="46">
                  <c:v>45723</c:v>
                </c:pt>
                <c:pt idx="47">
                  <c:v>45726</c:v>
                </c:pt>
                <c:pt idx="48">
                  <c:v>45727</c:v>
                </c:pt>
                <c:pt idx="49">
                  <c:v>45728</c:v>
                </c:pt>
                <c:pt idx="50">
                  <c:v>45729</c:v>
                </c:pt>
                <c:pt idx="51">
                  <c:v>45733</c:v>
                </c:pt>
                <c:pt idx="52">
                  <c:v>45734</c:v>
                </c:pt>
                <c:pt idx="53">
                  <c:v>45735</c:v>
                </c:pt>
                <c:pt idx="54">
                  <c:v>45736</c:v>
                </c:pt>
                <c:pt idx="55">
                  <c:v>45737</c:v>
                </c:pt>
                <c:pt idx="56">
                  <c:v>45740</c:v>
                </c:pt>
                <c:pt idx="57">
                  <c:v>45741</c:v>
                </c:pt>
                <c:pt idx="58">
                  <c:v>45742</c:v>
                </c:pt>
                <c:pt idx="59">
                  <c:v>45743</c:v>
                </c:pt>
                <c:pt idx="60">
                  <c:v>45744</c:v>
                </c:pt>
                <c:pt idx="61">
                  <c:v>45747</c:v>
                </c:pt>
              </c:numCache>
            </c:numRef>
          </c:cat>
          <c:val>
            <c:numRef>
              <c:f>NAV_Data!$C$2:$C$125</c:f>
              <c:numCache>
                <c:formatCode>0.0000%</c:formatCode>
                <c:ptCount val="124"/>
                <c:pt idx="0">
                  <c:v>-3.0313984872111455E-2</c:v>
                </c:pt>
                <c:pt idx="1">
                  <c:v>1.3684949006945057E-2</c:v>
                </c:pt>
                <c:pt idx="2">
                  <c:v>-9.6710629707087437E-3</c:v>
                </c:pt>
                <c:pt idx="3">
                  <c:v>-1.8960339839601548E-2</c:v>
                </c:pt>
                <c:pt idx="4">
                  <c:v>1.3904831228943593E-3</c:v>
                </c:pt>
                <c:pt idx="5">
                  <c:v>2.5410197627968589E-3</c:v>
                </c:pt>
                <c:pt idx="6">
                  <c:v>-5.9708244509444341E-3</c:v>
                </c:pt>
                <c:pt idx="7">
                  <c:v>-5.5734097235425883E-3</c:v>
                </c:pt>
                <c:pt idx="8">
                  <c:v>-1.7384435507380447E-2</c:v>
                </c:pt>
                <c:pt idx="9">
                  <c:v>4.7467900151527687E-3</c:v>
                </c:pt>
                <c:pt idx="10">
                  <c:v>4.9497877528470458E-3</c:v>
                </c:pt>
                <c:pt idx="11">
                  <c:v>1.0394222202563252E-3</c:v>
                </c:pt>
                <c:pt idx="12">
                  <c:v>-5.7566490243047275E-3</c:v>
                </c:pt>
                <c:pt idx="13">
                  <c:v>7.3295304846885401E-3</c:v>
                </c:pt>
                <c:pt idx="14">
                  <c:v>-9.0471928807320801E-3</c:v>
                </c:pt>
                <c:pt idx="15">
                  <c:v>8.2743707566819147E-3</c:v>
                </c:pt>
                <c:pt idx="16">
                  <c:v>9.4617226012161382E-4</c:v>
                </c:pt>
                <c:pt idx="17">
                  <c:v>-3.6645271877667751E-3</c:v>
                </c:pt>
                <c:pt idx="18">
                  <c:v>-1.1846782456894966E-2</c:v>
                </c:pt>
                <c:pt idx="19">
                  <c:v>1.9842666854419377E-4</c:v>
                </c:pt>
                <c:pt idx="20">
                  <c:v>1.1080890822987355E-2</c:v>
                </c:pt>
                <c:pt idx="21">
                  <c:v>2.2944272318448089E-3</c:v>
                </c:pt>
                <c:pt idx="22">
                  <c:v>1.1477449259254646E-2</c:v>
                </c:pt>
                <c:pt idx="23">
                  <c:v>1.9042089260574713E-3</c:v>
                </c:pt>
                <c:pt idx="24">
                  <c:v>5.1347081971504505E-3</c:v>
                </c:pt>
                <c:pt idx="25">
                  <c:v>-6.7265755530832028E-4</c:v>
                </c:pt>
                <c:pt idx="26">
                  <c:v>-1.792892947540814E-3</c:v>
                </c:pt>
                <c:pt idx="27">
                  <c:v>-4.3349098525198304E-3</c:v>
                </c:pt>
                <c:pt idx="28">
                  <c:v>-6.201410063949031E-3</c:v>
                </c:pt>
                <c:pt idx="29">
                  <c:v>-1.099163379644752E-2</c:v>
                </c:pt>
                <c:pt idx="30">
                  <c:v>5.2711130304450293E-4</c:v>
                </c:pt>
                <c:pt idx="31">
                  <c:v>2.1041607159859588E-3</c:v>
                </c:pt>
                <c:pt idx="32">
                  <c:v>-4.5446915785439801E-3</c:v>
                </c:pt>
                <c:pt idx="33">
                  <c:v>8.6536564880157485E-4</c:v>
                </c:pt>
                <c:pt idx="34">
                  <c:v>1.4940080740011297E-3</c:v>
                </c:pt>
                <c:pt idx="35">
                  <c:v>-2.4471529232528155E-3</c:v>
                </c:pt>
                <c:pt idx="36">
                  <c:v>4.9572209017816338E-3</c:v>
                </c:pt>
                <c:pt idx="37">
                  <c:v>-6.2087023147283649E-3</c:v>
                </c:pt>
                <c:pt idx="38">
                  <c:v>-9.0638002332057432E-3</c:v>
                </c:pt>
                <c:pt idx="39">
                  <c:v>-4.3788439466179163E-3</c:v>
                </c:pt>
                <c:pt idx="40">
                  <c:v>2.5800909974520447E-3</c:v>
                </c:pt>
                <c:pt idx="41">
                  <c:v>-1.5627516281346843E-2</c:v>
                </c:pt>
                <c:pt idx="42">
                  <c:v>-3.517370904307815E-3</c:v>
                </c:pt>
                <c:pt idx="43">
                  <c:v>-2.3871207121303195E-3</c:v>
                </c:pt>
                <c:pt idx="44">
                  <c:v>1.2398625520037898E-2</c:v>
                </c:pt>
                <c:pt idx="45">
                  <c:v>5.2797383538529807E-3</c:v>
                </c:pt>
                <c:pt idx="46">
                  <c:v>8.084989408652099E-5</c:v>
                </c:pt>
                <c:pt idx="47">
                  <c:v>-2.1083947742853715E-3</c:v>
                </c:pt>
                <c:pt idx="48">
                  <c:v>-2.9132694725653163E-3</c:v>
                </c:pt>
                <c:pt idx="49">
                  <c:v>-6.5325702251295414E-4</c:v>
                </c:pt>
                <c:pt idx="50">
                  <c:v>-3.4602976376314487E-3</c:v>
                </c:pt>
                <c:pt idx="51">
                  <c:v>6.7847166018328853E-3</c:v>
                </c:pt>
                <c:pt idx="52">
                  <c:v>1.0784335970800862E-2</c:v>
                </c:pt>
                <c:pt idx="53">
                  <c:v>6.6189911169547422E-3</c:v>
                </c:pt>
                <c:pt idx="54">
                  <c:v>8.8533071673877473E-3</c:v>
                </c:pt>
                <c:pt idx="55">
                  <c:v>7.3072222766070727E-3</c:v>
                </c:pt>
                <c:pt idx="56">
                  <c:v>1.2273227435600775E-2</c:v>
                </c:pt>
                <c:pt idx="57">
                  <c:v>-4.3666499433259176E-4</c:v>
                </c:pt>
                <c:pt idx="58">
                  <c:v>-4.969621484627984E-3</c:v>
                </c:pt>
                <c:pt idx="59">
                  <c:v>9.2042209884886095E-3</c:v>
                </c:pt>
                <c:pt idx="60">
                  <c:v>-6.5563553452036016E-3</c:v>
                </c:pt>
                <c:pt idx="61">
                  <c:v>5.9008410251193411E-5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88-4321-A7DD-80F06A0F3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156064"/>
        <c:axId val="176157024"/>
      </c:lineChart>
      <c:dateAx>
        <c:axId val="176156064"/>
        <c:scaling>
          <c:orientation val="minMax"/>
        </c:scaling>
        <c:delete val="0"/>
        <c:axPos val="b"/>
        <c:numFmt formatCode="mmm\-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157024"/>
        <c:crossesAt val="-4.0000000000000008E-2"/>
        <c:auto val="1"/>
        <c:lblOffset val="100"/>
        <c:baseTimeUnit val="days"/>
        <c:majorUnit val="1"/>
        <c:majorTimeUnit val="months"/>
        <c:minorUnit val="1"/>
        <c:minorTimeUnit val="months"/>
      </c:dateAx>
      <c:valAx>
        <c:axId val="176157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156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327660</xdr:colOff>
      <xdr:row>1</xdr:row>
      <xdr:rowOff>99060</xdr:rowOff>
    </xdr:from>
    <xdr:to>
      <xdr:col>22</xdr:col>
      <xdr:colOff>22860</xdr:colOff>
      <xdr:row>16</xdr:row>
      <xdr:rowOff>99060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6DE965B-F3CE-33BB-DD00-AA3DCC0173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396240</xdr:colOff>
          <xdr:row>0</xdr:row>
          <xdr:rowOff>129540</xdr:rowOff>
        </xdr:from>
        <xdr:to>
          <xdr:col>12</xdr:col>
          <xdr:colOff>167640</xdr:colOff>
          <xdr:row>3</xdr:row>
          <xdr:rowOff>137160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NAV Cleaner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434340</xdr:colOff>
          <xdr:row>4</xdr:row>
          <xdr:rowOff>91440</xdr:rowOff>
        </xdr:from>
        <xdr:to>
          <xdr:col>12</xdr:col>
          <xdr:colOff>114300</xdr:colOff>
          <xdr:row>7</xdr:row>
          <xdr:rowOff>106680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Risk Metrics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601980</xdr:colOff>
          <xdr:row>1</xdr:row>
          <xdr:rowOff>30480</xdr:rowOff>
        </xdr:from>
        <xdr:to>
          <xdr:col>10</xdr:col>
          <xdr:colOff>548640</xdr:colOff>
          <xdr:row>3</xdr:row>
          <xdr:rowOff>106680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SIP vs Lumpsum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8F533-9FE6-4B93-B114-CB152502B53B}">
  <sheetPr codeName="Sheet1"/>
  <dimension ref="A1:G63"/>
  <sheetViews>
    <sheetView tabSelected="1" topLeftCell="C1" workbookViewId="0">
      <selection activeCell="K11" sqref="K11"/>
    </sheetView>
  </sheetViews>
  <sheetFormatPr defaultRowHeight="14.4" x14ac:dyDescent="0.3"/>
  <cols>
    <col min="1" max="1" width="20.109375" style="1" customWidth="1"/>
    <col min="2" max="2" width="20.109375" style="2" customWidth="1"/>
    <col min="3" max="3" width="16" style="6" bestFit="1" customWidth="1"/>
    <col min="4" max="7" width="20.109375" customWidth="1"/>
  </cols>
  <sheetData>
    <row r="1" spans="1:7" x14ac:dyDescent="0.3">
      <c r="A1" s="1" t="s">
        <v>1</v>
      </c>
      <c r="B1" s="2" t="s">
        <v>0</v>
      </c>
      <c r="C1" s="6" t="s">
        <v>7</v>
      </c>
      <c r="D1" t="s">
        <v>8</v>
      </c>
    </row>
    <row r="2" spans="1:7" x14ac:dyDescent="0.3">
      <c r="A2" s="1">
        <v>45658</v>
      </c>
      <c r="B2" s="2">
        <v>32.6417</v>
      </c>
      <c r="C2" s="7">
        <v>-3.0313984872111455E-2</v>
      </c>
      <c r="D2" s="5">
        <f>(B3/B2)-1</f>
        <v>1.3684949006945057E-2</v>
      </c>
      <c r="E2" t="s">
        <v>9</v>
      </c>
      <c r="F2" t="s">
        <v>10</v>
      </c>
      <c r="G2" t="s">
        <v>11</v>
      </c>
    </row>
    <row r="3" spans="1:7" x14ac:dyDescent="0.3">
      <c r="A3" s="1">
        <v>45659</v>
      </c>
      <c r="B3" s="2">
        <v>33.0884</v>
      </c>
      <c r="C3" s="7">
        <v>1.3684949006945057E-2</v>
      </c>
      <c r="D3" s="5">
        <f t="shared" ref="D3:D63" si="0">(B4/B3)-1</f>
        <v>-9.6710629707087437E-3</v>
      </c>
      <c r="E3" s="8">
        <v>-1.6814129492208008E-2</v>
      </c>
      <c r="F3" s="8">
        <v>0.12818034523028754</v>
      </c>
      <c r="G3" s="9">
        <v>-0.13304792916237451</v>
      </c>
    </row>
    <row r="4" spans="1:7" x14ac:dyDescent="0.3">
      <c r="A4" s="1">
        <v>45660</v>
      </c>
      <c r="B4" s="2">
        <v>32.7684</v>
      </c>
      <c r="C4" s="7">
        <v>-9.6710629707087437E-3</v>
      </c>
      <c r="D4" s="5">
        <f t="shared" si="0"/>
        <v>-1.8960339839601548E-2</v>
      </c>
    </row>
    <row r="5" spans="1:7" x14ac:dyDescent="0.3">
      <c r="A5" s="1">
        <v>45663</v>
      </c>
      <c r="B5" s="2">
        <v>32.147100000000002</v>
      </c>
      <c r="C5" s="7">
        <v>-1.8960339839601548E-2</v>
      </c>
      <c r="D5" s="5">
        <f t="shared" si="0"/>
        <v>1.3904831228943593E-3</v>
      </c>
    </row>
    <row r="6" spans="1:7" x14ac:dyDescent="0.3">
      <c r="A6" s="1">
        <v>45664</v>
      </c>
      <c r="B6" s="2">
        <v>32.191800000000001</v>
      </c>
      <c r="C6" s="7">
        <v>1.3904831228943593E-3</v>
      </c>
      <c r="D6" s="5">
        <f t="shared" si="0"/>
        <v>2.5410197627968589E-3</v>
      </c>
    </row>
    <row r="7" spans="1:7" x14ac:dyDescent="0.3">
      <c r="A7" s="1">
        <v>45665</v>
      </c>
      <c r="B7" s="2">
        <v>32.273600000000002</v>
      </c>
      <c r="C7" s="7">
        <v>2.5410197627968589E-3</v>
      </c>
      <c r="D7" s="5">
        <f t="shared" si="0"/>
        <v>-5.9708244509444341E-3</v>
      </c>
    </row>
    <row r="8" spans="1:7" x14ac:dyDescent="0.3">
      <c r="A8" s="1">
        <v>45666</v>
      </c>
      <c r="B8" s="2">
        <v>32.0809</v>
      </c>
      <c r="C8" s="7">
        <v>-5.9708244509444341E-3</v>
      </c>
      <c r="D8" s="5">
        <f t="shared" si="0"/>
        <v>-5.5734097235425883E-3</v>
      </c>
    </row>
    <row r="9" spans="1:7" x14ac:dyDescent="0.3">
      <c r="A9" s="1">
        <v>45667</v>
      </c>
      <c r="B9" s="2">
        <v>31.902100000000001</v>
      </c>
      <c r="C9" s="7">
        <v>-5.5734097235425883E-3</v>
      </c>
      <c r="D9" s="5">
        <f t="shared" si="0"/>
        <v>-1.7384435507380447E-2</v>
      </c>
    </row>
    <row r="10" spans="1:7" x14ac:dyDescent="0.3">
      <c r="A10" s="1">
        <v>45670</v>
      </c>
      <c r="B10" s="2">
        <v>31.3475</v>
      </c>
      <c r="C10" s="7">
        <v>-1.7384435507380447E-2</v>
      </c>
      <c r="D10" s="5">
        <f t="shared" si="0"/>
        <v>4.7467900151527687E-3</v>
      </c>
    </row>
    <row r="11" spans="1:7" x14ac:dyDescent="0.3">
      <c r="A11" s="1">
        <v>45671</v>
      </c>
      <c r="B11" s="2">
        <v>31.496300000000002</v>
      </c>
      <c r="C11" s="7">
        <v>4.7467900151527687E-3</v>
      </c>
      <c r="D11" s="5">
        <f t="shared" si="0"/>
        <v>4.9497877528470458E-3</v>
      </c>
    </row>
    <row r="12" spans="1:7" x14ac:dyDescent="0.3">
      <c r="A12" s="1">
        <v>45672</v>
      </c>
      <c r="B12" s="2">
        <v>31.652200000000001</v>
      </c>
      <c r="C12" s="7">
        <v>4.9497877528470458E-3</v>
      </c>
      <c r="D12" s="5">
        <f t="shared" si="0"/>
        <v>1.0394222202563252E-3</v>
      </c>
    </row>
    <row r="13" spans="1:7" x14ac:dyDescent="0.3">
      <c r="A13" s="1">
        <v>45673</v>
      </c>
      <c r="B13" s="2">
        <v>31.685099999999998</v>
      </c>
      <c r="C13" s="7">
        <v>1.0394222202563252E-3</v>
      </c>
      <c r="D13" s="5">
        <f t="shared" si="0"/>
        <v>-5.7566490243047275E-3</v>
      </c>
    </row>
    <row r="14" spans="1:7" x14ac:dyDescent="0.3">
      <c r="A14" s="1">
        <v>45674</v>
      </c>
      <c r="B14" s="2">
        <v>31.502700000000001</v>
      </c>
      <c r="C14" s="7">
        <v>-5.7566490243047275E-3</v>
      </c>
      <c r="D14" s="5">
        <f t="shared" si="0"/>
        <v>7.3295304846885401E-3</v>
      </c>
    </row>
    <row r="15" spans="1:7" x14ac:dyDescent="0.3">
      <c r="A15" s="1">
        <v>45677</v>
      </c>
      <c r="B15" s="2">
        <v>31.733599999999999</v>
      </c>
      <c r="C15" s="7">
        <v>7.3295304846885401E-3</v>
      </c>
      <c r="D15" s="5">
        <f t="shared" si="0"/>
        <v>-9.0471928807320801E-3</v>
      </c>
    </row>
    <row r="16" spans="1:7" x14ac:dyDescent="0.3">
      <c r="A16" s="1">
        <v>45678</v>
      </c>
      <c r="B16" s="2">
        <v>31.4465</v>
      </c>
      <c r="C16" s="7">
        <v>-9.0471928807320801E-3</v>
      </c>
      <c r="D16" s="5">
        <f t="shared" si="0"/>
        <v>8.2743707566819147E-3</v>
      </c>
    </row>
    <row r="17" spans="1:4" x14ac:dyDescent="0.3">
      <c r="A17" s="1">
        <v>45679</v>
      </c>
      <c r="B17" s="2">
        <v>31.706700000000001</v>
      </c>
      <c r="C17" s="7">
        <v>8.2743707566819147E-3</v>
      </c>
      <c r="D17" s="5">
        <f t="shared" si="0"/>
        <v>9.4617226012161382E-4</v>
      </c>
    </row>
    <row r="18" spans="1:4" x14ac:dyDescent="0.3">
      <c r="A18" s="1">
        <v>45680</v>
      </c>
      <c r="B18" s="2">
        <v>31.736699999999999</v>
      </c>
      <c r="C18" s="7">
        <v>9.4617226012161382E-4</v>
      </c>
      <c r="D18" s="5">
        <f t="shared" si="0"/>
        <v>-3.6645271877667751E-3</v>
      </c>
    </row>
    <row r="19" spans="1:4" x14ac:dyDescent="0.3">
      <c r="A19" s="1">
        <v>45681</v>
      </c>
      <c r="B19" s="2">
        <v>31.6204</v>
      </c>
      <c r="C19" s="7">
        <v>-3.6645271877667751E-3</v>
      </c>
      <c r="D19" s="5">
        <f t="shared" si="0"/>
        <v>-1.1846782456894966E-2</v>
      </c>
    </row>
    <row r="20" spans="1:4" x14ac:dyDescent="0.3">
      <c r="A20" s="1">
        <v>45684</v>
      </c>
      <c r="B20" s="2">
        <v>31.245799999999999</v>
      </c>
      <c r="C20" s="7">
        <v>-1.1846782456894966E-2</v>
      </c>
      <c r="D20" s="5">
        <f t="shared" si="0"/>
        <v>1.9842666854419377E-4</v>
      </c>
    </row>
    <row r="21" spans="1:4" x14ac:dyDescent="0.3">
      <c r="A21" s="1">
        <v>45685</v>
      </c>
      <c r="B21" s="2">
        <v>31.251999999999999</v>
      </c>
      <c r="C21" s="7">
        <v>1.9842666854419377E-4</v>
      </c>
      <c r="D21" s="5">
        <f t="shared" si="0"/>
        <v>1.1080890822987355E-2</v>
      </c>
    </row>
    <row r="22" spans="1:4" x14ac:dyDescent="0.3">
      <c r="A22" s="1">
        <v>45686</v>
      </c>
      <c r="B22" s="2">
        <v>31.598299999999998</v>
      </c>
      <c r="C22" s="7">
        <v>1.1080890822987355E-2</v>
      </c>
      <c r="D22" s="5">
        <f t="shared" si="0"/>
        <v>2.2944272318448089E-3</v>
      </c>
    </row>
    <row r="23" spans="1:4" x14ac:dyDescent="0.3">
      <c r="A23" s="1">
        <v>45687</v>
      </c>
      <c r="B23" s="2">
        <v>31.6708</v>
      </c>
      <c r="C23" s="7">
        <v>2.2944272318448089E-3</v>
      </c>
      <c r="D23" s="5">
        <f t="shared" si="0"/>
        <v>1.1477449259254646E-2</v>
      </c>
    </row>
    <row r="24" spans="1:4" x14ac:dyDescent="0.3">
      <c r="A24" s="1">
        <v>45688</v>
      </c>
      <c r="B24" s="2">
        <v>32.034300000000002</v>
      </c>
      <c r="C24" s="7">
        <v>1.1477449259254646E-2</v>
      </c>
      <c r="D24" s="5">
        <f t="shared" si="0"/>
        <v>1.9042089260574713E-3</v>
      </c>
    </row>
    <row r="25" spans="1:4" x14ac:dyDescent="0.3">
      <c r="A25" s="1">
        <v>45691</v>
      </c>
      <c r="B25" s="2">
        <v>32.095300000000002</v>
      </c>
      <c r="C25" s="7">
        <v>1.9042089260574713E-3</v>
      </c>
      <c r="D25" s="5">
        <f t="shared" si="0"/>
        <v>5.1347081971504505E-3</v>
      </c>
    </row>
    <row r="26" spans="1:4" x14ac:dyDescent="0.3">
      <c r="A26" s="1">
        <v>45692</v>
      </c>
      <c r="B26" s="2">
        <v>32.260100000000001</v>
      </c>
      <c r="C26" s="7">
        <v>5.1347081971504505E-3</v>
      </c>
      <c r="D26" s="5">
        <f t="shared" si="0"/>
        <v>-6.7265755530832028E-4</v>
      </c>
    </row>
    <row r="27" spans="1:4" x14ac:dyDescent="0.3">
      <c r="A27" s="1">
        <v>45693</v>
      </c>
      <c r="B27" s="2">
        <v>32.238399999999999</v>
      </c>
      <c r="C27" s="7">
        <v>-6.7265755530832028E-4</v>
      </c>
      <c r="D27" s="5">
        <f t="shared" si="0"/>
        <v>-1.792892947540814E-3</v>
      </c>
    </row>
    <row r="28" spans="1:4" x14ac:dyDescent="0.3">
      <c r="A28" s="1">
        <v>45694</v>
      </c>
      <c r="B28" s="2">
        <v>32.180599999999998</v>
      </c>
      <c r="C28" s="7">
        <v>-1.792892947540814E-3</v>
      </c>
      <c r="D28" s="5">
        <f t="shared" si="0"/>
        <v>-4.3349098525198304E-3</v>
      </c>
    </row>
    <row r="29" spans="1:4" x14ac:dyDescent="0.3">
      <c r="A29" s="1">
        <v>45695</v>
      </c>
      <c r="B29" s="2">
        <v>32.0411</v>
      </c>
      <c r="C29" s="7">
        <v>-4.3349098525198304E-3</v>
      </c>
      <c r="D29" s="5">
        <f t="shared" si="0"/>
        <v>-6.201410063949031E-3</v>
      </c>
    </row>
    <row r="30" spans="1:4" x14ac:dyDescent="0.3">
      <c r="A30" s="1">
        <v>45698</v>
      </c>
      <c r="B30" s="2">
        <v>31.842400000000001</v>
      </c>
      <c r="C30" s="7">
        <v>-6.201410063949031E-3</v>
      </c>
      <c r="D30" s="5">
        <f t="shared" si="0"/>
        <v>-1.099163379644752E-2</v>
      </c>
    </row>
    <row r="31" spans="1:4" x14ac:dyDescent="0.3">
      <c r="A31" s="1">
        <v>45699</v>
      </c>
      <c r="B31" s="2">
        <v>31.4924</v>
      </c>
      <c r="C31" s="7">
        <v>-1.099163379644752E-2</v>
      </c>
      <c r="D31" s="5">
        <f t="shared" si="0"/>
        <v>5.2711130304450293E-4</v>
      </c>
    </row>
    <row r="32" spans="1:4" x14ac:dyDescent="0.3">
      <c r="A32" s="1">
        <v>45700</v>
      </c>
      <c r="B32" s="2">
        <v>31.509</v>
      </c>
      <c r="C32" s="7">
        <v>5.2711130304450293E-4</v>
      </c>
      <c r="D32" s="5">
        <f t="shared" si="0"/>
        <v>2.1041607159859588E-3</v>
      </c>
    </row>
    <row r="33" spans="1:4" x14ac:dyDescent="0.3">
      <c r="A33" s="1">
        <v>45701</v>
      </c>
      <c r="B33" s="2">
        <v>31.575299999999999</v>
      </c>
      <c r="C33" s="7">
        <v>2.1041607159859588E-3</v>
      </c>
      <c r="D33" s="5">
        <f t="shared" si="0"/>
        <v>-4.5446915785439801E-3</v>
      </c>
    </row>
    <row r="34" spans="1:4" x14ac:dyDescent="0.3">
      <c r="A34" s="1">
        <v>45702</v>
      </c>
      <c r="B34" s="2">
        <v>31.431799999999999</v>
      </c>
      <c r="C34" s="7">
        <v>-4.5446915785439801E-3</v>
      </c>
      <c r="D34" s="5">
        <f t="shared" si="0"/>
        <v>8.6536564880157485E-4</v>
      </c>
    </row>
    <row r="35" spans="1:4" x14ac:dyDescent="0.3">
      <c r="A35" s="1">
        <v>45705</v>
      </c>
      <c r="B35" s="2">
        <v>31.459</v>
      </c>
      <c r="C35" s="7">
        <v>8.6536564880157485E-4</v>
      </c>
      <c r="D35" s="5">
        <f t="shared" si="0"/>
        <v>1.4940080740011297E-3</v>
      </c>
    </row>
    <row r="36" spans="1:4" x14ac:dyDescent="0.3">
      <c r="A36" s="1">
        <v>45706</v>
      </c>
      <c r="B36" s="2">
        <v>31.506</v>
      </c>
      <c r="C36" s="7">
        <v>1.4940080740011297E-3</v>
      </c>
      <c r="D36" s="5">
        <f t="shared" si="0"/>
        <v>-2.4471529232528155E-3</v>
      </c>
    </row>
    <row r="37" spans="1:4" x14ac:dyDescent="0.3">
      <c r="A37" s="1">
        <v>45707</v>
      </c>
      <c r="B37" s="2">
        <v>31.428899999999999</v>
      </c>
      <c r="C37" s="7">
        <v>-2.4471529232528155E-3</v>
      </c>
      <c r="D37" s="5">
        <f t="shared" si="0"/>
        <v>4.9572209017816338E-3</v>
      </c>
    </row>
    <row r="38" spans="1:4" x14ac:dyDescent="0.3">
      <c r="A38" s="1">
        <v>45708</v>
      </c>
      <c r="B38" s="2">
        <v>31.584700000000002</v>
      </c>
      <c r="C38" s="7">
        <v>4.9572209017816338E-3</v>
      </c>
      <c r="D38" s="5">
        <f t="shared" si="0"/>
        <v>-6.2087023147283649E-3</v>
      </c>
    </row>
    <row r="39" spans="1:4" x14ac:dyDescent="0.3">
      <c r="A39" s="1">
        <v>45709</v>
      </c>
      <c r="B39" s="2">
        <v>31.3886</v>
      </c>
      <c r="C39" s="7">
        <v>-6.2087023147283649E-3</v>
      </c>
      <c r="D39" s="5">
        <f t="shared" si="0"/>
        <v>-9.0638002332057432E-3</v>
      </c>
    </row>
    <row r="40" spans="1:4" x14ac:dyDescent="0.3">
      <c r="A40" s="1">
        <v>45712</v>
      </c>
      <c r="B40" s="2">
        <v>31.104099999999999</v>
      </c>
      <c r="C40" s="7">
        <v>-9.0638002332057432E-3</v>
      </c>
      <c r="D40" s="5">
        <f t="shared" si="0"/>
        <v>-4.3788439466179163E-3</v>
      </c>
    </row>
    <row r="41" spans="1:4" x14ac:dyDescent="0.3">
      <c r="A41" s="1">
        <v>45713</v>
      </c>
      <c r="B41" s="2">
        <v>30.9679</v>
      </c>
      <c r="C41" s="7">
        <v>-4.3788439466179163E-3</v>
      </c>
      <c r="D41" s="5">
        <f t="shared" si="0"/>
        <v>2.5800909974520447E-3</v>
      </c>
    </row>
    <row r="42" spans="1:4" x14ac:dyDescent="0.3">
      <c r="A42" s="1">
        <v>45715</v>
      </c>
      <c r="B42" s="2">
        <v>31.047799999999999</v>
      </c>
      <c r="C42" s="7">
        <v>2.5800909974520447E-3</v>
      </c>
      <c r="D42" s="5">
        <f t="shared" si="0"/>
        <v>-1.5627516281346843E-2</v>
      </c>
    </row>
    <row r="43" spans="1:4" x14ac:dyDescent="0.3">
      <c r="A43" s="1">
        <v>45716</v>
      </c>
      <c r="B43" s="2">
        <v>30.5626</v>
      </c>
      <c r="C43" s="7">
        <v>-1.5627516281346843E-2</v>
      </c>
      <c r="D43" s="5">
        <f t="shared" si="0"/>
        <v>-3.517370904307815E-3</v>
      </c>
    </row>
    <row r="44" spans="1:4" x14ac:dyDescent="0.3">
      <c r="A44" s="1">
        <v>45719</v>
      </c>
      <c r="B44" s="2">
        <v>30.455100000000002</v>
      </c>
      <c r="C44" s="7">
        <v>-3.517370904307815E-3</v>
      </c>
      <c r="D44" s="5">
        <f t="shared" si="0"/>
        <v>-2.3871207121303195E-3</v>
      </c>
    </row>
    <row r="45" spans="1:4" x14ac:dyDescent="0.3">
      <c r="A45" s="1">
        <v>45720</v>
      </c>
      <c r="B45" s="2">
        <v>30.382400000000001</v>
      </c>
      <c r="C45" s="7">
        <v>-2.3871207121303195E-3</v>
      </c>
      <c r="D45" s="5">
        <f t="shared" si="0"/>
        <v>1.2398625520037898E-2</v>
      </c>
    </row>
    <row r="46" spans="1:4" x14ac:dyDescent="0.3">
      <c r="A46" s="1">
        <v>45721</v>
      </c>
      <c r="B46" s="2">
        <v>30.7591</v>
      </c>
      <c r="C46" s="7">
        <v>1.2398625520037898E-2</v>
      </c>
      <c r="D46" s="5">
        <f t="shared" si="0"/>
        <v>5.2797383538529807E-3</v>
      </c>
    </row>
    <row r="47" spans="1:4" x14ac:dyDescent="0.3">
      <c r="A47" s="1">
        <v>45722</v>
      </c>
      <c r="B47" s="2">
        <v>30.921500000000002</v>
      </c>
      <c r="C47" s="7">
        <v>5.2797383538529807E-3</v>
      </c>
      <c r="D47" s="5">
        <f t="shared" si="0"/>
        <v>8.084989408652099E-5</v>
      </c>
    </row>
    <row r="48" spans="1:4" x14ac:dyDescent="0.3">
      <c r="A48" s="1">
        <v>45723</v>
      </c>
      <c r="B48" s="2">
        <v>30.923999999999999</v>
      </c>
      <c r="C48" s="7">
        <v>8.084989408652099E-5</v>
      </c>
      <c r="D48" s="5">
        <f t="shared" si="0"/>
        <v>-2.1083947742853715E-3</v>
      </c>
    </row>
    <row r="49" spans="1:4" x14ac:dyDescent="0.3">
      <c r="A49" s="1">
        <v>45726</v>
      </c>
      <c r="B49" s="2">
        <v>30.858799999999999</v>
      </c>
      <c r="C49" s="7">
        <v>-2.1083947742853715E-3</v>
      </c>
      <c r="D49" s="5">
        <f t="shared" si="0"/>
        <v>-2.9132694725653163E-3</v>
      </c>
    </row>
    <row r="50" spans="1:4" x14ac:dyDescent="0.3">
      <c r="A50" s="1">
        <v>45727</v>
      </c>
      <c r="B50" s="2">
        <v>30.768899999999999</v>
      </c>
      <c r="C50" s="7">
        <v>-2.9132694725653163E-3</v>
      </c>
      <c r="D50" s="5">
        <f t="shared" si="0"/>
        <v>-6.5325702251295414E-4</v>
      </c>
    </row>
    <row r="51" spans="1:4" x14ac:dyDescent="0.3">
      <c r="A51" s="1">
        <v>45728</v>
      </c>
      <c r="B51" s="2">
        <v>30.748799999999999</v>
      </c>
      <c r="C51" s="7">
        <v>-6.5325702251295414E-4</v>
      </c>
      <c r="D51" s="5">
        <f t="shared" si="0"/>
        <v>-3.4602976376314487E-3</v>
      </c>
    </row>
    <row r="52" spans="1:4" x14ac:dyDescent="0.3">
      <c r="A52" s="1">
        <v>45729</v>
      </c>
      <c r="B52" s="2">
        <v>30.642399999999999</v>
      </c>
      <c r="C52" s="7">
        <v>-3.4602976376314487E-3</v>
      </c>
      <c r="D52" s="5">
        <f t="shared" si="0"/>
        <v>6.7847166018328853E-3</v>
      </c>
    </row>
    <row r="53" spans="1:4" x14ac:dyDescent="0.3">
      <c r="A53" s="1">
        <v>45733</v>
      </c>
      <c r="B53" s="2">
        <v>30.850300000000001</v>
      </c>
      <c r="C53" s="7">
        <v>6.7847166018328853E-3</v>
      </c>
      <c r="D53" s="5">
        <f t="shared" si="0"/>
        <v>1.0784335970800862E-2</v>
      </c>
    </row>
    <row r="54" spans="1:4" x14ac:dyDescent="0.3">
      <c r="A54" s="1">
        <v>45734</v>
      </c>
      <c r="B54" s="2">
        <v>31.183</v>
      </c>
      <c r="C54" s="7">
        <v>1.0784335970800862E-2</v>
      </c>
      <c r="D54" s="5">
        <f t="shared" si="0"/>
        <v>6.6189911169547422E-3</v>
      </c>
    </row>
    <row r="55" spans="1:4" x14ac:dyDescent="0.3">
      <c r="A55" s="1">
        <v>45735</v>
      </c>
      <c r="B55" s="2">
        <v>31.389399999999998</v>
      </c>
      <c r="C55" s="7">
        <v>6.6189911169547422E-3</v>
      </c>
      <c r="D55" s="5">
        <f t="shared" si="0"/>
        <v>8.8533071673877473E-3</v>
      </c>
    </row>
    <row r="56" spans="1:4" x14ac:dyDescent="0.3">
      <c r="A56" s="1">
        <v>45736</v>
      </c>
      <c r="B56" s="2">
        <v>31.667300000000001</v>
      </c>
      <c r="C56" s="7">
        <v>8.8533071673877473E-3</v>
      </c>
      <c r="D56" s="5">
        <f t="shared" si="0"/>
        <v>7.3072222766070727E-3</v>
      </c>
    </row>
    <row r="57" spans="1:4" x14ac:dyDescent="0.3">
      <c r="A57" s="1">
        <v>45737</v>
      </c>
      <c r="B57" s="2">
        <v>31.898700000000002</v>
      </c>
      <c r="C57" s="7">
        <v>7.3072222766070727E-3</v>
      </c>
      <c r="D57" s="5">
        <f t="shared" si="0"/>
        <v>1.2273227435600775E-2</v>
      </c>
    </row>
    <row r="58" spans="1:4" x14ac:dyDescent="0.3">
      <c r="A58" s="1">
        <v>45740</v>
      </c>
      <c r="B58" s="2">
        <v>32.290199999999999</v>
      </c>
      <c r="C58" s="7">
        <v>1.2273227435600775E-2</v>
      </c>
      <c r="D58" s="5">
        <f t="shared" si="0"/>
        <v>-4.3666499433259176E-4</v>
      </c>
    </row>
    <row r="59" spans="1:4" x14ac:dyDescent="0.3">
      <c r="A59" s="1">
        <v>45741</v>
      </c>
      <c r="B59" s="2">
        <v>32.2761</v>
      </c>
      <c r="C59" s="7">
        <v>-4.3666499433259176E-4</v>
      </c>
      <c r="D59" s="5">
        <f t="shared" si="0"/>
        <v>-4.969621484627984E-3</v>
      </c>
    </row>
    <row r="60" spans="1:4" x14ac:dyDescent="0.3">
      <c r="A60" s="1">
        <v>45742</v>
      </c>
      <c r="B60" s="2">
        <v>32.115699999999997</v>
      </c>
      <c r="C60" s="7">
        <v>-4.969621484627984E-3</v>
      </c>
      <c r="D60" s="5">
        <f t="shared" si="0"/>
        <v>9.2042209884886095E-3</v>
      </c>
    </row>
    <row r="61" spans="1:4" x14ac:dyDescent="0.3">
      <c r="A61" s="1">
        <v>45743</v>
      </c>
      <c r="B61" s="2">
        <v>32.411299999999997</v>
      </c>
      <c r="C61" s="7">
        <v>9.2042209884886095E-3</v>
      </c>
      <c r="D61" s="5">
        <f t="shared" si="0"/>
        <v>-6.5563553452036016E-3</v>
      </c>
    </row>
    <row r="62" spans="1:4" x14ac:dyDescent="0.3">
      <c r="A62" s="1">
        <v>45744</v>
      </c>
      <c r="B62" s="2">
        <v>32.198799999999999</v>
      </c>
      <c r="C62" s="7">
        <v>-6.5563553452036016E-3</v>
      </c>
      <c r="D62" s="5">
        <f t="shared" si="0"/>
        <v>5.9008410251193411E-5</v>
      </c>
    </row>
    <row r="63" spans="1:4" x14ac:dyDescent="0.3">
      <c r="A63" s="1">
        <v>45747</v>
      </c>
      <c r="B63" s="2">
        <v>32.200699999999998</v>
      </c>
      <c r="C63" s="7">
        <v>5.9008410251193411E-5</v>
      </c>
      <c r="D63" s="5">
        <f t="shared" si="0"/>
        <v>-1</v>
      </c>
    </row>
  </sheetData>
  <sortState xmlns:xlrd2="http://schemas.microsoft.com/office/spreadsheetml/2017/richdata2" ref="A2:B63">
    <sortCondition ref="A2:A63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AV_Cleaner">
                <anchor moveWithCells="1" sizeWithCells="1">
                  <from>
                    <xdr:col>9</xdr:col>
                    <xdr:colOff>396240</xdr:colOff>
                    <xdr:row>0</xdr:row>
                    <xdr:rowOff>129540</xdr:rowOff>
                  </from>
                  <to>
                    <xdr:col>12</xdr:col>
                    <xdr:colOff>167640</xdr:colOff>
                    <xdr:row>3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Risk_Metrics">
                <anchor moveWithCells="1" sizeWithCells="1">
                  <from>
                    <xdr:col>9</xdr:col>
                    <xdr:colOff>434340</xdr:colOff>
                    <xdr:row>4</xdr:row>
                    <xdr:rowOff>91440</xdr:rowOff>
                  </from>
                  <to>
                    <xdr:col>12</xdr:col>
                    <xdr:colOff>114300</xdr:colOff>
                    <xdr:row>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19887-0758-48F2-BB2A-1E9893C00C3B}">
  <sheetPr codeName="Sheet2"/>
  <dimension ref="A1:B8"/>
  <sheetViews>
    <sheetView showGridLines="0" workbookViewId="0">
      <selection activeCell="A11" sqref="A11"/>
    </sheetView>
  </sheetViews>
  <sheetFormatPr defaultRowHeight="14.4" x14ac:dyDescent="0.3"/>
  <cols>
    <col min="1" max="1" width="24.6640625" bestFit="1" customWidth="1"/>
  </cols>
  <sheetData>
    <row r="1" spans="1:2" x14ac:dyDescent="0.3">
      <c r="A1" s="3" t="s">
        <v>2</v>
      </c>
      <c r="B1" s="3">
        <v>5000</v>
      </c>
    </row>
    <row r="2" spans="1:2" x14ac:dyDescent="0.3">
      <c r="A2" s="3" t="s">
        <v>3</v>
      </c>
      <c r="B2" s="3">
        <v>60000</v>
      </c>
    </row>
    <row r="5" spans="1:2" x14ac:dyDescent="0.3">
      <c r="A5" s="3" t="s">
        <v>4</v>
      </c>
      <c r="B5" s="3">
        <v>33293.995981189619</v>
      </c>
    </row>
    <row r="6" spans="1:2" x14ac:dyDescent="0.3">
      <c r="A6" s="3" t="s">
        <v>5</v>
      </c>
      <c r="B6" s="3">
        <v>55255.394173710316</v>
      </c>
    </row>
    <row r="8" spans="1:2" x14ac:dyDescent="0.3">
      <c r="A8" s="4" t="s">
        <v>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IP_vs_Lumpsum">
                <anchor moveWithCells="1" sizeWithCells="1">
                  <from>
                    <xdr:col>8</xdr:col>
                    <xdr:colOff>601980</xdr:colOff>
                    <xdr:row>1</xdr:row>
                    <xdr:rowOff>30480</xdr:rowOff>
                  </from>
                  <to>
                    <xdr:col>10</xdr:col>
                    <xdr:colOff>548640</xdr:colOff>
                    <xdr:row>3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NAV_Data</vt:lpstr>
      <vt:lpstr>SIP_Calculator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Shashank Hegde</dc:creator>
  <cp:lastModifiedBy>Shashank Hegde</cp:lastModifiedBy>
  <dcterms:created xsi:type="dcterms:W3CDTF">2026-04-02T17:51:40Z</dcterms:created>
  <dcterms:modified xsi:type="dcterms:W3CDTF">2026-04-05T13:44:04Z</dcterms:modified>
</cp:coreProperties>
</file>