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994fdd55ba896f/Documents/"/>
    </mc:Choice>
  </mc:AlternateContent>
  <xr:revisionPtr revIDLastSave="8" documentId="8_{02967DA0-3E21-436D-8727-60DF0871F86D}" xr6:coauthVersionLast="47" xr6:coauthVersionMax="47" xr10:uidLastSave="{FAC1692A-98F3-4174-AC9A-8578CA38779D}"/>
  <bookViews>
    <workbookView xWindow="0" yWindow="528" windowWidth="23040" windowHeight="11712" xr2:uid="{540C8379-43E1-4F86-9A28-FDAAFEE6C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2" i="1"/>
  <c r="J3" i="1"/>
  <c r="J4" i="1"/>
  <c r="J5" i="1"/>
  <c r="J2" i="1"/>
  <c r="I3" i="1"/>
  <c r="I4" i="1"/>
  <c r="I5" i="1"/>
  <c r="I2" i="1"/>
  <c r="E3" i="1"/>
  <c r="E6" i="1" s="1"/>
  <c r="E4" i="1"/>
  <c r="E5" i="1"/>
  <c r="F5" i="1" s="1"/>
  <c r="E2" i="1"/>
  <c r="F2" i="1" l="1"/>
  <c r="F4" i="1"/>
  <c r="F3" i="1"/>
</calcChain>
</file>

<file path=xl/sharedStrings.xml><?xml version="1.0" encoding="utf-8"?>
<sst xmlns="http://schemas.openxmlformats.org/spreadsheetml/2006/main" count="25" uniqueCount="23">
  <si>
    <t>Asset Name</t>
  </si>
  <si>
    <t>Type (Stock/Mutual Fund)</t>
  </si>
  <si>
    <t>Quantity/Units</t>
  </si>
  <si>
    <t>Price/NAV</t>
  </si>
  <si>
    <t>Value</t>
  </si>
  <si>
    <t>Allocation %</t>
  </si>
  <si>
    <t>GAIL</t>
  </si>
  <si>
    <t>RELIANCE</t>
  </si>
  <si>
    <t>PPFAS</t>
  </si>
  <si>
    <t>HDFC Large Cap</t>
  </si>
  <si>
    <t>Stock</t>
  </si>
  <si>
    <t>Mutual Fund</t>
  </si>
  <si>
    <t xml:space="preserve">Total </t>
  </si>
  <si>
    <t>I have 88% in Mutual Funds and 12% in Equity</t>
  </si>
  <si>
    <t>Category</t>
  </si>
  <si>
    <t>Energy</t>
  </si>
  <si>
    <t>Conglomerate</t>
  </si>
  <si>
    <t>Flexi Cap</t>
  </si>
  <si>
    <t>Large Cap</t>
  </si>
  <si>
    <t>Target Allocation %</t>
  </si>
  <si>
    <t>Difference</t>
  </si>
  <si>
    <t>Action</t>
  </si>
  <si>
    <t>Amount to Buy/Sell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</si>
</sst>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164" fontId="2" fillId="0" borderId="1" xfId="1" applyNumberFormat="1" applyFont="1" applyBorder="1"/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1" xfId="0" applyFont="1" applyFill="1" applyBorder="1"/>
    <xf numFmtId="9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54F223B2-3897-4D2F-939E-E9133249E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Allocation %</c:v>
                </c:pt>
              </c:strCache>
            </c:strRef>
          </c:tx>
          <c:explosion val="2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36-4CA1-9307-EFF2B457FD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36-4CA1-9307-EFF2B457FD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36-4CA1-9307-EFF2B457FD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5A-48B0-87B6-F28B16D1C3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GAIL</c:v>
                </c:pt>
                <c:pt idx="1">
                  <c:v>RELIANCE</c:v>
                </c:pt>
                <c:pt idx="2">
                  <c:v>PPFAS</c:v>
                </c:pt>
                <c:pt idx="3">
                  <c:v>HDFC Large Cap</c:v>
                </c:pt>
              </c:strCache>
            </c:strRef>
          </c:cat>
          <c:val>
            <c:numRef>
              <c:f>Sheet1!$F$2:$F$5</c:f>
              <c:numCache>
                <c:formatCode>0.0%</c:formatCode>
                <c:ptCount val="4"/>
                <c:pt idx="0">
                  <c:v>8.3429430285440337E-2</c:v>
                </c:pt>
                <c:pt idx="1">
                  <c:v>3.7574988014874515E-2</c:v>
                </c:pt>
                <c:pt idx="2">
                  <c:v>4.9754466888661426E-2</c:v>
                </c:pt>
                <c:pt idx="3">
                  <c:v>0.82924111481102369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A-48B0-87B6-F28B16D1C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99060</xdr:colOff>
      <xdr:row>6</xdr:row>
      <xdr:rowOff>68580</xdr:rowOff>
    </xdr:from>
    <xdr:to>
      <xdr:col>22</xdr:col>
      <xdr:colOff>403860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294DA-2606-3B40-A65E-A1445F342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FCC4-93F6-4E74-9960-16EB08C2E326}">
  <dimension ref="A1:K11"/>
  <sheetViews>
    <sheetView showGridLines="0" tabSelected="1" zoomScaleNormal="100" workbookViewId="0">
      <selection activeCell="K3" sqref="K3"/>
    </sheetView>
  </sheetViews>
  <sheetFormatPr defaultRowHeight="14.4" x14ac:dyDescent="0.3"/>
  <cols>
    <col min="1" max="1" width="14" bestFit="1" customWidth="1"/>
    <col min="2" max="2" width="22.109375" bestFit="1" customWidth="1"/>
    <col min="3" max="3" width="13.21875" bestFit="1" customWidth="1"/>
    <col min="4" max="4" width="9.44140625" bestFit="1" customWidth="1"/>
    <col min="5" max="5" width="11" bestFit="1" customWidth="1"/>
    <col min="6" max="6" width="11.21875" bestFit="1" customWidth="1"/>
    <col min="7" max="7" width="12.5546875" bestFit="1" customWidth="1"/>
    <col min="8" max="8" width="17.33203125" bestFit="1" customWidth="1"/>
    <col min="9" max="9" width="9.21875" bestFit="1" customWidth="1"/>
    <col min="10" max="10" width="6.33203125" bestFit="1" customWidth="1"/>
    <col min="11" max="11" width="16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6" t="s">
        <v>19</v>
      </c>
      <c r="I1" s="6" t="s">
        <v>20</v>
      </c>
      <c r="J1" s="6" t="s">
        <v>21</v>
      </c>
      <c r="K1" s="9" t="s">
        <v>22</v>
      </c>
    </row>
    <row r="2" spans="1:11" x14ac:dyDescent="0.3">
      <c r="A2" s="1" t="s">
        <v>6</v>
      </c>
      <c r="B2" s="1" t="s">
        <v>10</v>
      </c>
      <c r="C2" s="1">
        <v>47</v>
      </c>
      <c r="D2" s="3">
        <v>137</v>
      </c>
      <c r="E2" s="3">
        <f>C2*D2</f>
        <v>6439</v>
      </c>
      <c r="F2" s="2">
        <f>E2/$E$6</f>
        <v>8.3429430285440337E-2</v>
      </c>
      <c r="G2" s="1" t="s">
        <v>15</v>
      </c>
      <c r="H2" s="7">
        <v>0.2</v>
      </c>
      <c r="I2" s="8">
        <f>F2-H2</f>
        <v>-0.11657056971455967</v>
      </c>
      <c r="J2" s="9" t="str">
        <f>IF(I2&gt;0.05,"Sell",IF(I2&lt;-0.05,"Buy","Hold"))</f>
        <v>Buy</v>
      </c>
      <c r="K2" s="10">
        <f>(H2*$E$6)-E2</f>
        <v>8996.8000000000011</v>
      </c>
    </row>
    <row r="3" spans="1:11" x14ac:dyDescent="0.3">
      <c r="A3" s="1" t="s">
        <v>7</v>
      </c>
      <c r="B3" s="1" t="s">
        <v>10</v>
      </c>
      <c r="C3" s="1">
        <v>1</v>
      </c>
      <c r="D3" s="3">
        <v>2900</v>
      </c>
      <c r="E3" s="3">
        <f t="shared" ref="E3:E5" si="0">C3*D3</f>
        <v>2900</v>
      </c>
      <c r="F3" s="2">
        <f t="shared" ref="F3:F5" si="1">E3/$E$6</f>
        <v>3.7574988014874515E-2</v>
      </c>
      <c r="G3" s="1" t="s">
        <v>16</v>
      </c>
      <c r="H3" s="7">
        <v>0.2</v>
      </c>
      <c r="I3" s="8">
        <f t="shared" ref="I3:I5" si="2">F3-H3</f>
        <v>-0.16242501198512549</v>
      </c>
      <c r="J3" s="9" t="str">
        <f t="shared" ref="J3:J5" si="3">IF(I3&gt;0.05,"Sell",IF(I3&lt;-0.05,"Buy","Hold"))</f>
        <v>Buy</v>
      </c>
      <c r="K3" s="10">
        <f t="shared" ref="K3:K5" si="4">(H3*$E$6)-E3</f>
        <v>12535.800000000001</v>
      </c>
    </row>
    <row r="4" spans="1:11" x14ac:dyDescent="0.3">
      <c r="A4" s="1" t="s">
        <v>8</v>
      </c>
      <c r="B4" s="1" t="s">
        <v>11</v>
      </c>
      <c r="C4" s="1">
        <v>120</v>
      </c>
      <c r="D4" s="3">
        <v>32</v>
      </c>
      <c r="E4" s="3">
        <f t="shared" si="0"/>
        <v>3840</v>
      </c>
      <c r="F4" s="2">
        <f t="shared" si="1"/>
        <v>4.9754466888661426E-2</v>
      </c>
      <c r="G4" s="1" t="s">
        <v>17</v>
      </c>
      <c r="H4" s="7">
        <v>0.2</v>
      </c>
      <c r="I4" s="8">
        <f t="shared" si="2"/>
        <v>-0.15024553311133859</v>
      </c>
      <c r="J4" s="9" t="str">
        <f t="shared" si="3"/>
        <v>Buy</v>
      </c>
      <c r="K4" s="10">
        <f t="shared" si="4"/>
        <v>11595.800000000001</v>
      </c>
    </row>
    <row r="5" spans="1:11" x14ac:dyDescent="0.3">
      <c r="A5" s="1" t="s">
        <v>9</v>
      </c>
      <c r="B5" s="1" t="s">
        <v>11</v>
      </c>
      <c r="C5" s="1">
        <v>50</v>
      </c>
      <c r="D5" s="3">
        <v>1280</v>
      </c>
      <c r="E5" s="3">
        <f t="shared" si="0"/>
        <v>64000</v>
      </c>
      <c r="F5" s="2">
        <f t="shared" si="1"/>
        <v>0.82924111481102369</v>
      </c>
      <c r="G5" s="1" t="s">
        <v>18</v>
      </c>
      <c r="H5" s="7">
        <v>0.2</v>
      </c>
      <c r="I5" s="8">
        <f t="shared" si="2"/>
        <v>0.62924111481102374</v>
      </c>
      <c r="J5" s="9" t="str">
        <f t="shared" si="3"/>
        <v>Sell</v>
      </c>
      <c r="K5" s="10">
        <f t="shared" si="4"/>
        <v>-48564.2</v>
      </c>
    </row>
    <row r="6" spans="1:11" x14ac:dyDescent="0.3">
      <c r="A6" s="1"/>
      <c r="B6" s="1"/>
      <c r="C6" s="4" t="s">
        <v>12</v>
      </c>
      <c r="D6" s="4"/>
      <c r="E6" s="3">
        <f>SUM(E2:E5)</f>
        <v>77179</v>
      </c>
      <c r="F6" s="1"/>
      <c r="G6" s="1"/>
    </row>
    <row r="11" spans="1:11" x14ac:dyDescent="0.3">
      <c r="B11" s="5" t="s">
        <v>13</v>
      </c>
      <c r="C11" s="5"/>
      <c r="D11" s="5"/>
    </row>
  </sheetData>
  <mergeCells count="2">
    <mergeCell ref="C6:D6"/>
    <mergeCell ref="B11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Hegde</dc:creator>
  <cp:lastModifiedBy>Shashank Hegde</cp:lastModifiedBy>
  <dcterms:created xsi:type="dcterms:W3CDTF">2026-04-09T17:00:51Z</dcterms:created>
  <dcterms:modified xsi:type="dcterms:W3CDTF">2026-04-11T12:50:52Z</dcterms:modified>
</cp:coreProperties>
</file>