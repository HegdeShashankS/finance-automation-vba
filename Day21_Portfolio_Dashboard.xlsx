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d6994fdd55ba896f/Documents/"/>
    </mc:Choice>
  </mc:AlternateContent>
  <xr:revisionPtr revIDLastSave="13" documentId="8_{02967DA0-3E21-436D-8727-60DF0871F86D}" xr6:coauthVersionLast="47" xr6:coauthVersionMax="47" xr10:uidLastSave="{E52B8067-1F1D-46FC-88D5-9A7997ECA8E6}"/>
  <bookViews>
    <workbookView xWindow="-108" yWindow="-108" windowWidth="23256" windowHeight="12456" activeTab="5" xr2:uid="{540C8379-43E1-4F86-9A28-FDAAFEE6C837}"/>
  </bookViews>
  <sheets>
    <sheet name="Portfolio" sheetId="6" r:id="rId1"/>
    <sheet name="Diversification" sheetId="1" r:id="rId2"/>
    <sheet name="Goal Planner" sheetId="2" r:id="rId3"/>
    <sheet name="Portfolio Risk" sheetId="3" r:id="rId4"/>
    <sheet name="Correlation" sheetId="5" r:id="rId5"/>
    <sheet name="Dashboard" sheetId="4" r:id="rId6"/>
  </sheets>
  <externalReferences>
    <externalReference r:id="rId7"/>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3" i="4" l="1"/>
  <c r="D22" i="4"/>
  <c r="D8" i="4"/>
  <c r="D19" i="4"/>
  <c r="D18" i="4"/>
  <c r="F12" i="4"/>
  <c r="E13" i="4"/>
  <c r="F13" i="4" s="1"/>
  <c r="E14" i="4"/>
  <c r="E15" i="4"/>
  <c r="E12" i="4"/>
  <c r="D13" i="4"/>
  <c r="D14" i="4"/>
  <c r="F14" i="4" s="1"/>
  <c r="D15" i="4"/>
  <c r="F15" i="4" s="1"/>
  <c r="D12" i="4"/>
  <c r="D7" i="4" s="1"/>
  <c r="C13" i="4"/>
  <c r="C14" i="4"/>
  <c r="C15" i="4"/>
  <c r="C12" i="4"/>
  <c r="F5" i="6"/>
  <c r="E5" i="6"/>
  <c r="F4" i="6"/>
  <c r="E4" i="6"/>
  <c r="F3" i="6"/>
  <c r="E3" i="6"/>
  <c r="F2" i="6"/>
  <c r="E2" i="6"/>
  <c r="C8" i="3"/>
  <c r="C7" i="3"/>
  <c r="B6" i="2"/>
  <c r="B5" i="2"/>
  <c r="B4" i="2"/>
  <c r="E3" i="1"/>
  <c r="E4" i="1"/>
  <c r="E5" i="1"/>
  <c r="E2" i="1"/>
  <c r="D9" i="4" l="1"/>
  <c r="E6" i="1"/>
  <c r="F5" i="1"/>
  <c r="I5" i="1" s="1"/>
  <c r="J5" i="1" s="1"/>
  <c r="F2" i="1"/>
  <c r="I2" i="1" s="1"/>
  <c r="J2" i="1" s="1"/>
  <c r="F4" i="1"/>
  <c r="I4" i="1" s="1"/>
  <c r="J4" i="1" s="1"/>
  <c r="F3" i="1"/>
  <c r="I3" i="1" s="1"/>
  <c r="J3" i="1" s="1"/>
  <c r="K2" i="1" l="1"/>
  <c r="K4" i="1"/>
  <c r="K5" i="1"/>
  <c r="K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SHASHANK</author>
  </authors>
  <commentList>
    <comment ref="B2" authorId="0" shapeId="0" xr:uid="{BD8AA437-F04D-4B39-A63E-A72C5E614AE9}">
      <text>
        <r>
          <rPr>
            <sz val="9"/>
            <color indexed="81"/>
            <rFont val="Tahoma"/>
            <family val="2"/>
          </rPr>
          <t>Highly Correlated</t>
        </r>
      </text>
    </comment>
    <comment ref="C2" authorId="0" shapeId="0" xr:uid="{E24AA07B-F065-4918-A68F-6082759B2472}">
      <text>
        <r>
          <rPr>
            <sz val="9"/>
            <color indexed="81"/>
            <rFont val="Tahoma"/>
            <family val="2"/>
          </rPr>
          <t>Inverse</t>
        </r>
      </text>
    </comment>
    <comment ref="D2" authorId="0" shapeId="0" xr:uid="{39154832-A879-4F5C-ABDA-07157DD54906}">
      <text>
        <r>
          <rPr>
            <sz val="9"/>
            <color indexed="81"/>
            <rFont val="Tahoma"/>
            <family val="2"/>
          </rPr>
          <t>Inverse</t>
        </r>
      </text>
    </comment>
    <comment ref="E2" authorId="0" shapeId="0" xr:uid="{8E21CE39-8C5B-4653-BCD3-65935D158C9A}">
      <text>
        <r>
          <rPr>
            <sz val="9"/>
            <color indexed="81"/>
            <rFont val="Tahoma"/>
            <family val="2"/>
          </rPr>
          <t>Diversified</t>
        </r>
      </text>
    </comment>
    <comment ref="B3" authorId="0" shapeId="0" xr:uid="{7E4288A1-8C96-4A2C-AF53-D12D51BF2250}">
      <text>
        <r>
          <rPr>
            <sz val="9"/>
            <color indexed="81"/>
            <rFont val="Tahoma"/>
            <family val="2"/>
          </rPr>
          <t>Inverse</t>
        </r>
      </text>
    </comment>
    <comment ref="C3" authorId="0" shapeId="0" xr:uid="{0DB8849A-00B0-478B-91E1-D5588BD8F681}">
      <text>
        <r>
          <rPr>
            <sz val="9"/>
            <color indexed="81"/>
            <rFont val="Tahoma"/>
            <family val="2"/>
          </rPr>
          <t>Highly Correlated</t>
        </r>
      </text>
    </comment>
    <comment ref="D3" authorId="0" shapeId="0" xr:uid="{3184FB0F-349A-48A5-824D-690A345B9B39}">
      <text>
        <r>
          <rPr>
            <sz val="9"/>
            <color indexed="81"/>
            <rFont val="Tahoma"/>
            <family val="2"/>
          </rPr>
          <t>Diversified</t>
        </r>
      </text>
    </comment>
    <comment ref="E3" authorId="0" shapeId="0" xr:uid="{290EC2EB-DA12-4EBF-B5C1-7B0935BD1DC5}">
      <text>
        <r>
          <rPr>
            <sz val="9"/>
            <color indexed="81"/>
            <rFont val="Tahoma"/>
            <family val="2"/>
          </rPr>
          <t>Moderate</t>
        </r>
      </text>
    </comment>
    <comment ref="B4" authorId="0" shapeId="0" xr:uid="{B00C1C02-390B-4612-A345-D0BF455DE8A7}">
      <text>
        <r>
          <rPr>
            <sz val="9"/>
            <color indexed="81"/>
            <rFont val="Tahoma"/>
            <family val="2"/>
          </rPr>
          <t>Inverse</t>
        </r>
      </text>
    </comment>
    <comment ref="C4" authorId="0" shapeId="0" xr:uid="{B299B966-5300-4A8D-873A-E89778DBFFD4}">
      <text>
        <r>
          <rPr>
            <sz val="9"/>
            <color indexed="81"/>
            <rFont val="Tahoma"/>
            <family val="2"/>
          </rPr>
          <t>Diversified</t>
        </r>
      </text>
    </comment>
    <comment ref="D4" authorId="0" shapeId="0" xr:uid="{4725E666-4817-47F2-BC6A-BCAC5C15167A}">
      <text>
        <r>
          <rPr>
            <sz val="9"/>
            <color indexed="81"/>
            <rFont val="Tahoma"/>
            <family val="2"/>
          </rPr>
          <t>Highly Correlated</t>
        </r>
      </text>
    </comment>
    <comment ref="E4" authorId="0" shapeId="0" xr:uid="{BA884686-8CAD-438A-8761-E3E120C97B13}">
      <text>
        <r>
          <rPr>
            <sz val="9"/>
            <color indexed="81"/>
            <rFont val="Tahoma"/>
            <family val="2"/>
          </rPr>
          <t>Diversified</t>
        </r>
      </text>
    </comment>
    <comment ref="B5" authorId="0" shapeId="0" xr:uid="{C2B2697C-334D-4472-AC8A-17C803E8E98F}">
      <text>
        <r>
          <rPr>
            <sz val="9"/>
            <color indexed="81"/>
            <rFont val="Tahoma"/>
            <family val="2"/>
          </rPr>
          <t>Diversified</t>
        </r>
      </text>
    </comment>
    <comment ref="C5" authorId="0" shapeId="0" xr:uid="{BE46C630-90DC-4D04-86D1-03DA456665F2}">
      <text>
        <r>
          <rPr>
            <sz val="9"/>
            <color indexed="81"/>
            <rFont val="Tahoma"/>
            <family val="2"/>
          </rPr>
          <t>Moderate</t>
        </r>
      </text>
    </comment>
    <comment ref="D5" authorId="0" shapeId="0" xr:uid="{3B9C3536-2358-4019-AE21-4F0B264BF552}">
      <text>
        <r>
          <rPr>
            <sz val="9"/>
            <color indexed="81"/>
            <rFont val="Tahoma"/>
            <family val="2"/>
          </rPr>
          <t>Diversified</t>
        </r>
      </text>
    </comment>
    <comment ref="E5" authorId="0" shapeId="0" xr:uid="{1D36B2D8-A599-42CA-88C6-AD62644FFA91}">
      <text>
        <r>
          <rPr>
            <sz val="9"/>
            <color indexed="81"/>
            <rFont val="Tahoma"/>
            <family val="2"/>
          </rPr>
          <t>Highly Correlated</t>
        </r>
      </text>
    </comment>
  </commentList>
</comments>
</file>

<file path=xl/sharedStrings.xml><?xml version="1.0" encoding="utf-8"?>
<sst xmlns="http://schemas.openxmlformats.org/spreadsheetml/2006/main" count="100" uniqueCount="75">
  <si>
    <t>Asset Name</t>
  </si>
  <si>
    <t>Type (Stock/Mutual Fund)</t>
  </si>
  <si>
    <t>Quantity/Units</t>
  </si>
  <si>
    <t>Price/NAV</t>
  </si>
  <si>
    <t>Value</t>
  </si>
  <si>
    <t>Allocation %</t>
  </si>
  <si>
    <t>GAIL</t>
  </si>
  <si>
    <t>RELIANCE</t>
  </si>
  <si>
    <t>PPFAS</t>
  </si>
  <si>
    <t>HDFC Large Cap</t>
  </si>
  <si>
    <t>Stock</t>
  </si>
  <si>
    <t>Mutual Fund</t>
  </si>
  <si>
    <t xml:space="preserve">Total </t>
  </si>
  <si>
    <t>Category</t>
  </si>
  <si>
    <t>Energy</t>
  </si>
  <si>
    <t>Conglomerate</t>
  </si>
  <si>
    <t>Flexi Cap</t>
  </si>
  <si>
    <t>Large Cap</t>
  </si>
  <si>
    <t>Target Allocation %</t>
  </si>
  <si>
    <t>Difference</t>
  </si>
  <si>
    <t>Action</t>
  </si>
  <si>
    <t>Amount to Buy/Sell</t>
  </si>
  <si>
    <t>Target Amount</t>
  </si>
  <si>
    <t>Years</t>
  </si>
  <si>
    <t>Expected Returns (%)</t>
  </si>
  <si>
    <t>Months</t>
  </si>
  <si>
    <t>Monthly Returns</t>
  </si>
  <si>
    <t>SIP Calculation</t>
  </si>
  <si>
    <t>Must invest 20k rupees to reach 50L in 10 Years.</t>
  </si>
  <si>
    <t>Weight</t>
  </si>
  <si>
    <t>Return</t>
  </si>
  <si>
    <t>Volatility</t>
  </si>
  <si>
    <t>ONGC</t>
  </si>
  <si>
    <t>IOC</t>
  </si>
  <si>
    <t>Portfolio Return</t>
  </si>
  <si>
    <t>Portfolio Risk</t>
  </si>
  <si>
    <t>GAIL.NS</t>
  </si>
  <si>
    <t>RELIANCE.NS</t>
  </si>
  <si>
    <t>ONGC.NS</t>
  </si>
  <si>
    <t>IOC.NS</t>
  </si>
  <si>
    <t>Best Diversification</t>
  </si>
  <si>
    <t>Good Diversification</t>
  </si>
  <si>
    <t>Moderate Correlation</t>
  </si>
  <si>
    <t>Higher Side</t>
  </si>
  <si>
    <t>GAIL vs RELIANCE -&gt; 0.13</t>
  </si>
  <si>
    <t>GAIL vs ONGC --&gt; 0.00
GAIL vs IOC --&gt; 0.01</t>
  </si>
  <si>
    <t>RELIANCE vs ONGC --&gt; 0.20
ONGC vs IOC --&gt; 0.24</t>
  </si>
  <si>
    <t>RELIANCE vs IOC --&gt; 0.37</t>
  </si>
  <si>
    <t>Slight nrgative correlation</t>
  </si>
  <si>
    <t>Almost no relationship</t>
  </si>
  <si>
    <t>Slightly related</t>
  </si>
  <si>
    <t>Starting to move together</t>
  </si>
  <si>
    <t>They move differently</t>
  </si>
  <si>
    <t>Meaning</t>
  </si>
  <si>
    <t xml:space="preserve">When one fails --&gt; other may not </t>
  </si>
  <si>
    <t>Independent movement</t>
  </si>
  <si>
    <t>Not bad, Not great</t>
  </si>
  <si>
    <t>Not great diversification</t>
  </si>
  <si>
    <t>Portfolio becomes stable</t>
  </si>
  <si>
    <t>Strong diversification</t>
  </si>
  <si>
    <t>Both may fall together</t>
  </si>
  <si>
    <t>Interpretation</t>
  </si>
  <si>
    <t>Portfolio shows good diversification
GAIL has low to negative correlation with other stocks, improving stability.
ONGC and IOC have moderate correlation with RELIANCE, indicating some sector linkage.
Overall, no high correlation pairs (&gt;0.7), suggesting reduced risk from diversification.
Portfolio is balanced but can be improved by adding more negatively correlated assets.</t>
  </si>
  <si>
    <t>Portfolio Dashboard</t>
  </si>
  <si>
    <t>Total Investment</t>
  </si>
  <si>
    <t>Current Value</t>
  </si>
  <si>
    <t>Return %</t>
  </si>
  <si>
    <t>Qty</t>
  </si>
  <si>
    <t>Avg Price</t>
  </si>
  <si>
    <t>LTP</t>
  </si>
  <si>
    <t>Investment</t>
  </si>
  <si>
    <t>Insight</t>
  </si>
  <si>
    <t>Best Performer</t>
  </si>
  <si>
    <t>Worst Performer</t>
  </si>
  <si>
    <t>88% in Mutual Funds and 12% in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</si>
</sst>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_ [$₹-4009]\ * #,##0_ ;_ [$₹-4009]\ * \-#,##0_ ;_ [$₹-4009]\ * &quot;-&quot;??_ ;_ @_ "/>
    <numFmt numFmtId="166" formatCode="[$₹-4009]\ #,##0;[Red][$₹-4009]\ \-#,##0"/>
  </numFmts>
  <fonts count="7" x14ac:knownFonts="1">
    <font>
      <sz val="11"/>
      <color theme="1"/>
      <name val="Calibri"/>
      <family val="2"/>
      <scheme val="minor"/>
    </font>
    <font>
      <sz val="11"/>
      <color theme="1"/>
      <name val="Calibri"/>
      <family val="2"/>
      <scheme val="minor"/>
    </font>
    <font>
      <sz val="10"/>
      <color theme="1"/>
      <name val="Cambria"/>
      <family val="1"/>
    </font>
    <font>
      <b/>
      <sz val="11"/>
      <color theme="1"/>
      <name val="Calibri"/>
      <family val="2"/>
      <scheme val="minor"/>
    </font>
    <font>
      <sz val="9"/>
      <color indexed="81"/>
      <name val="Tahoma"/>
      <family val="2"/>
    </font>
    <font>
      <b/>
      <sz val="10"/>
      <color theme="1"/>
      <name val="Cambria"/>
      <family val="1"/>
    </font>
    <font>
      <sz val="11"/>
      <color rgb="FF000000"/>
      <name val="Calibri"/>
      <family val="2"/>
    </font>
  </fonts>
  <fills count="8">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0000"/>
        <bgColor indexed="64"/>
      </patternFill>
    </fill>
    <fill>
      <patternFill patternType="solid">
        <fgColor rgb="FF92D05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78">
    <xf numFmtId="0" fontId="0" fillId="0" borderId="0" xfId="0"/>
    <xf numFmtId="0" fontId="2" fillId="0" borderId="1" xfId="0" applyFont="1" applyBorder="1"/>
    <xf numFmtId="164" fontId="2" fillId="0" borderId="1" xfId="1" applyNumberFormat="1" applyFont="1" applyBorder="1"/>
    <xf numFmtId="165" fontId="2" fillId="0" borderId="1" xfId="0" applyNumberFormat="1" applyFont="1" applyBorder="1"/>
    <xf numFmtId="9" fontId="0" fillId="0" borderId="1" xfId="0" applyNumberFormat="1" applyBorder="1"/>
    <xf numFmtId="164" fontId="0" fillId="0" borderId="1" xfId="0" applyNumberFormat="1" applyBorder="1"/>
    <xf numFmtId="0" fontId="0" fillId="0" borderId="1" xfId="0" applyBorder="1"/>
    <xf numFmtId="165" fontId="0" fillId="0" borderId="1" xfId="0" applyNumberFormat="1" applyBorder="1"/>
    <xf numFmtId="0" fontId="0" fillId="0" borderId="1" xfId="1" applyNumberFormat="1" applyFont="1" applyBorder="1"/>
    <xf numFmtId="166" fontId="0" fillId="0" borderId="1" xfId="0" applyNumberFormat="1" applyBorder="1"/>
    <xf numFmtId="0" fontId="3" fillId="3" borderId="1" xfId="0" applyFont="1" applyFill="1" applyBorder="1"/>
    <xf numFmtId="9" fontId="0" fillId="0" borderId="1" xfId="1" applyFont="1" applyBorder="1"/>
    <xf numFmtId="0" fontId="3" fillId="0" borderId="1" xfId="0" applyFont="1" applyBorder="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0" fillId="2" borderId="0" xfId="0" applyFill="1" applyAlignment="1">
      <alignment horizontal="center"/>
    </xf>
    <xf numFmtId="0" fontId="0" fillId="2" borderId="0" xfId="0" applyFill="1" applyAlignment="1">
      <alignment horizontal="center" vertical="center" wrapText="1"/>
    </xf>
    <xf numFmtId="2" fontId="0" fillId="0" borderId="0" xfId="0" applyNumberFormat="1"/>
    <xf numFmtId="2" fontId="3" fillId="2" borderId="2" xfId="0" applyNumberFormat="1" applyFont="1" applyFill="1" applyBorder="1"/>
    <xf numFmtId="2" fontId="3" fillId="4" borderId="2" xfId="0" applyNumberFormat="1" applyFont="1" applyFill="1" applyBorder="1"/>
    <xf numFmtId="2" fontId="3" fillId="5" borderId="2" xfId="0" applyNumberFormat="1" applyFont="1" applyFill="1" applyBorder="1"/>
    <xf numFmtId="2" fontId="3" fillId="6" borderId="2" xfId="0" applyNumberFormat="1" applyFont="1" applyFill="1" applyBorder="1"/>
    <xf numFmtId="2" fontId="0" fillId="2" borderId="3" xfId="0" applyNumberFormat="1" applyFill="1" applyBorder="1"/>
    <xf numFmtId="2" fontId="0" fillId="4" borderId="3" xfId="0" applyNumberFormat="1" applyFill="1" applyBorder="1" applyAlignment="1">
      <alignment wrapText="1"/>
    </xf>
    <xf numFmtId="2" fontId="0" fillId="5" borderId="3" xfId="0" applyNumberFormat="1" applyFill="1" applyBorder="1" applyAlignment="1">
      <alignment wrapText="1"/>
    </xf>
    <xf numFmtId="2" fontId="0" fillId="6" borderId="3" xfId="0" applyNumberFormat="1" applyFill="1" applyBorder="1"/>
    <xf numFmtId="2" fontId="0" fillId="4" borderId="3" xfId="0" applyNumberFormat="1" applyFill="1" applyBorder="1"/>
    <xf numFmtId="2" fontId="0" fillId="5" borderId="3" xfId="0" applyNumberFormat="1" applyFill="1" applyBorder="1"/>
    <xf numFmtId="0" fontId="0" fillId="5" borderId="3" xfId="0" applyFill="1" applyBorder="1"/>
    <xf numFmtId="2" fontId="3" fillId="2" borderId="3" xfId="0" applyNumberFormat="1" applyFont="1" applyFill="1" applyBorder="1"/>
    <xf numFmtId="2" fontId="3" fillId="4" borderId="3" xfId="0" applyNumberFormat="1" applyFont="1" applyFill="1" applyBorder="1"/>
    <xf numFmtId="2" fontId="3" fillId="5" borderId="3" xfId="0" applyNumberFormat="1" applyFont="1" applyFill="1" applyBorder="1"/>
    <xf numFmtId="2" fontId="3" fillId="6" borderId="3" xfId="0" applyNumberFormat="1" applyFont="1" applyFill="1" applyBorder="1"/>
    <xf numFmtId="2" fontId="0" fillId="2" borderId="4" xfId="0" applyNumberFormat="1" applyFill="1" applyBorder="1"/>
    <xf numFmtId="2" fontId="0" fillId="4" borderId="4" xfId="0" applyNumberFormat="1" applyFill="1" applyBorder="1"/>
    <xf numFmtId="2" fontId="0" fillId="5" borderId="4" xfId="0" applyNumberFormat="1" applyFill="1" applyBorder="1"/>
    <xf numFmtId="2" fontId="0" fillId="6" borderId="4" xfId="0" applyNumberFormat="1" applyFill="1" applyBorder="1"/>
    <xf numFmtId="2" fontId="0" fillId="0" borderId="5" xfId="0" applyNumberFormat="1" applyBorder="1"/>
    <xf numFmtId="2" fontId="0" fillId="0" borderId="6" xfId="0" applyNumberFormat="1" applyBorder="1"/>
    <xf numFmtId="2" fontId="0" fillId="0" borderId="7" xfId="0" applyNumberFormat="1" applyBorder="1"/>
    <xf numFmtId="2" fontId="0" fillId="0" borderId="5" xfId="0" applyNumberFormat="1" applyBorder="1" applyAlignment="1">
      <alignment horizontal="left" wrapText="1"/>
    </xf>
    <xf numFmtId="2" fontId="0" fillId="0" borderId="6" xfId="0" applyNumberFormat="1" applyBorder="1" applyAlignment="1">
      <alignment horizontal="left" wrapText="1"/>
    </xf>
    <xf numFmtId="2" fontId="0" fillId="0" borderId="7" xfId="0" applyNumberFormat="1" applyBorder="1" applyAlignment="1">
      <alignment horizontal="left" wrapText="1"/>
    </xf>
    <xf numFmtId="0" fontId="5" fillId="0" borderId="1" xfId="0" applyFont="1" applyBorder="1"/>
    <xf numFmtId="10" fontId="5" fillId="0" borderId="1" xfId="0" applyNumberFormat="1" applyFont="1" applyBorder="1"/>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5" fillId="0" borderId="0" xfId="0" applyFont="1" applyBorder="1" applyAlignment="1">
      <alignment horizontal="center" vertical="center"/>
    </xf>
    <xf numFmtId="0" fontId="5" fillId="0" borderId="10"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2" fillId="0" borderId="0" xfId="0" applyFont="1"/>
    <xf numFmtId="0" fontId="2" fillId="0" borderId="11" xfId="0" applyFont="1" applyBorder="1"/>
    <xf numFmtId="0" fontId="2" fillId="0" borderId="0" xfId="0" applyFont="1" applyBorder="1"/>
    <xf numFmtId="0" fontId="2" fillId="0" borderId="12" xfId="0" applyFont="1" applyBorder="1"/>
    <xf numFmtId="0" fontId="2" fillId="0" borderId="16" xfId="0" applyFont="1" applyBorder="1"/>
    <xf numFmtId="1" fontId="2" fillId="0" borderId="17" xfId="0" applyNumberFormat="1" applyFont="1" applyBorder="1"/>
    <xf numFmtId="0" fontId="2" fillId="0" borderId="18" xfId="0" applyFont="1" applyBorder="1"/>
    <xf numFmtId="0" fontId="2" fillId="0" borderId="19" xfId="0" applyFont="1" applyBorder="1"/>
    <xf numFmtId="0" fontId="2" fillId="0" borderId="20" xfId="0" applyFont="1" applyBorder="1"/>
    <xf numFmtId="9" fontId="2" fillId="0" borderId="21" xfId="1" applyFont="1" applyBorder="1"/>
    <xf numFmtId="0" fontId="2" fillId="0" borderId="22" xfId="0" applyFont="1" applyBorder="1"/>
    <xf numFmtId="0" fontId="2" fillId="0" borderId="17" xfId="0" applyFont="1" applyBorder="1"/>
    <xf numFmtId="164" fontId="2" fillId="0" borderId="19" xfId="1" applyNumberFormat="1" applyFont="1" applyBorder="1"/>
    <xf numFmtId="0" fontId="2" fillId="0" borderId="23" xfId="0" applyFont="1" applyBorder="1"/>
    <xf numFmtId="164" fontId="2" fillId="0" borderId="21" xfId="1" applyNumberFormat="1" applyFont="1" applyBorder="1"/>
    <xf numFmtId="9" fontId="2" fillId="0" borderId="17" xfId="0" applyNumberFormat="1" applyFont="1" applyBorder="1"/>
    <xf numFmtId="9" fontId="2" fillId="0" borderId="21" xfId="0" applyNumberFormat="1" applyFont="1" applyBorder="1"/>
    <xf numFmtId="0" fontId="2" fillId="7" borderId="16" xfId="0" applyFont="1" applyFill="1" applyBorder="1"/>
    <xf numFmtId="0" fontId="2" fillId="7" borderId="17" xfId="0" applyFont="1" applyFill="1" applyBorder="1"/>
    <xf numFmtId="0" fontId="2" fillId="6" borderId="20" xfId="0" applyFont="1" applyFill="1" applyBorder="1"/>
    <xf numFmtId="0" fontId="2" fillId="6" borderId="21" xfId="0" applyFont="1" applyFill="1" applyBorder="1"/>
    <xf numFmtId="0" fontId="2" fillId="0" borderId="13" xfId="0" applyFont="1" applyBorder="1"/>
    <xf numFmtId="0" fontId="2" fillId="0" borderId="14" xfId="0" applyFont="1" applyBorder="1"/>
    <xf numFmtId="0" fontId="2" fillId="0" borderId="15" xfId="0" applyFont="1" applyBorder="1"/>
  </cellXfs>
  <cellStyles count="2">
    <cellStyle name="Normal" xfId="0" builtinId="0"/>
    <cellStyle name="Percent" xfId="1" builtinId="5"/>
  </cellStyles>
  <dxfs count="0"/>
  <tableStyles count="1" defaultTableStyle="TableStyleMedium2" defaultPivotStyle="PivotStyleLight16">
    <tableStyle name="Invisible" pivot="0" table="0" count="0" xr9:uid="{54F223B2-3897-4D2F-939E-E9133249E72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Allocation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Diversification!$F$1</c:f>
              <c:strCache>
                <c:ptCount val="1"/>
                <c:pt idx="0">
                  <c:v>Allocation %</c:v>
                </c:pt>
              </c:strCache>
            </c:strRef>
          </c:tx>
          <c:explosion val="2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36-4CA1-9307-EFF2B457FD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36-4CA1-9307-EFF2B457FD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36-4CA1-9307-EFF2B457FD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BC5A-48B0-87B6-F28B16D1C3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Diversification!$A$2:$A$5</c:f>
              <c:strCache>
                <c:ptCount val="4"/>
                <c:pt idx="0">
                  <c:v>GAIL</c:v>
                </c:pt>
                <c:pt idx="1">
                  <c:v>RELIANCE</c:v>
                </c:pt>
                <c:pt idx="2">
                  <c:v>PPFAS</c:v>
                </c:pt>
                <c:pt idx="3">
                  <c:v>HDFC Large Cap</c:v>
                </c:pt>
              </c:strCache>
            </c:strRef>
          </c:cat>
          <c:val>
            <c:numRef>
              <c:f>Diversification!$F$2:$F$5</c:f>
              <c:numCache>
                <c:formatCode>0.0%</c:formatCode>
                <c:ptCount val="4"/>
                <c:pt idx="0">
                  <c:v>8.2362271198147846E-2</c:v>
                </c:pt>
                <c:pt idx="1">
                  <c:v>3.709436037810665E-2</c:v>
                </c:pt>
                <c:pt idx="2">
                  <c:v>4.9118049604113638E-2</c:v>
                </c:pt>
                <c:pt idx="3">
                  <c:v>0.83142531881963189</c:v>
                </c:pt>
              </c:numCache>
            </c:numRef>
          </c:val>
          <c:extLst>
            <c:ext xmlns:c16="http://schemas.microsoft.com/office/drawing/2014/chart" uri="{C3380CC4-5D6E-409C-BE32-E72D297353CC}">
              <c16:uniqueId val="{00000000-BC5A-48B0-87B6-F28B16D1C37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Risk Vs Return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'Portfolio Risk'!$A$8</c:f>
              <c:strCache>
                <c:ptCount val="1"/>
                <c:pt idx="0">
                  <c:v>Portfolio Risk</c:v>
                </c:pt>
              </c:strCache>
            </c:strRef>
          </c:tx>
          <c:spPr>
            <a:ln w="19050" cap="rnd">
              <a:noFill/>
              <a:round/>
            </a:ln>
            <a:effectLst/>
          </c:spPr>
          <c:marker>
            <c:symbol val="circle"/>
            <c:size val="5"/>
            <c:spPr>
              <a:solidFill>
                <a:schemeClr val="accent1"/>
              </a:solidFill>
              <a:ln w="9525">
                <a:solidFill>
                  <a:schemeClr val="accent1"/>
                </a:solidFill>
              </a:ln>
              <a:effectLst/>
            </c:spPr>
          </c:marker>
          <c:xVal>
            <c:numRef>
              <c:f>'Portfolio Risk'!$B$7:$C$7</c:f>
              <c:numCache>
                <c:formatCode>0%</c:formatCode>
                <c:ptCount val="2"/>
                <c:pt idx="1">
                  <c:v>9.9000000000000019E-2</c:v>
                </c:pt>
              </c:numCache>
            </c:numRef>
          </c:xVal>
          <c:yVal>
            <c:numRef>
              <c:f>'Portfolio Risk'!$B$8:$C$8</c:f>
              <c:numCache>
                <c:formatCode>0%</c:formatCode>
                <c:ptCount val="2"/>
                <c:pt idx="1">
                  <c:v>8.4805660188456769E-2</c:v>
                </c:pt>
              </c:numCache>
            </c:numRef>
          </c:yVal>
          <c:smooth val="0"/>
          <c:extLst>
            <c:ext xmlns:c16="http://schemas.microsoft.com/office/drawing/2014/chart" uri="{C3380CC4-5D6E-409C-BE32-E72D297353CC}">
              <c16:uniqueId val="{00000000-431C-4D90-AF6E-C50225C948B7}"/>
            </c:ext>
          </c:extLst>
        </c:ser>
        <c:dLbls>
          <c:showLegendKey val="0"/>
          <c:showVal val="0"/>
          <c:showCatName val="0"/>
          <c:showSerName val="0"/>
          <c:showPercent val="0"/>
          <c:showBubbleSize val="0"/>
        </c:dLbls>
        <c:axId val="522834063"/>
        <c:axId val="522840303"/>
      </c:scatterChart>
      <c:valAx>
        <c:axId val="522834063"/>
        <c:scaling>
          <c:orientation val="minMax"/>
          <c:max val="0.12000000000000001"/>
          <c:min val="8.0000000000000016E-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840303"/>
        <c:crosses val="autoZero"/>
        <c:crossBetween val="midCat"/>
      </c:valAx>
      <c:valAx>
        <c:axId val="522840303"/>
        <c:scaling>
          <c:orientation val="minMax"/>
          <c:min val="6.0000000000000012E-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834063"/>
        <c:crosses val="autoZero"/>
        <c:crossBetween val="midCat"/>
        <c:majorUnit val="6.0000000000000019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Dashboard!$E$11</c:f>
              <c:strCache>
                <c:ptCount val="1"/>
                <c:pt idx="0">
                  <c:v>Current Value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Dashboard!$C$12:$C$15</c:f>
              <c:strCache>
                <c:ptCount val="4"/>
                <c:pt idx="0">
                  <c:v>GAIL</c:v>
                </c:pt>
                <c:pt idx="1">
                  <c:v>RELIANCE</c:v>
                </c:pt>
                <c:pt idx="2">
                  <c:v>ONGC</c:v>
                </c:pt>
                <c:pt idx="3">
                  <c:v>IOC</c:v>
                </c:pt>
              </c:strCache>
            </c:strRef>
          </c:cat>
          <c:val>
            <c:numRef>
              <c:f>Dashboard!$E$12:$E$15</c:f>
              <c:numCache>
                <c:formatCode>General</c:formatCode>
                <c:ptCount val="4"/>
                <c:pt idx="0">
                  <c:v>6447.93</c:v>
                </c:pt>
                <c:pt idx="1">
                  <c:v>1220</c:v>
                </c:pt>
                <c:pt idx="2">
                  <c:v>470</c:v>
                </c:pt>
                <c:pt idx="3">
                  <c:v>405</c:v>
                </c:pt>
              </c:numCache>
            </c:numRef>
          </c:val>
          <c:extLst>
            <c:ext xmlns:c16="http://schemas.microsoft.com/office/drawing/2014/chart" uri="{C3380CC4-5D6E-409C-BE32-E72D297353CC}">
              <c16:uniqueId val="{00000000-CEB8-4ADA-8DFE-25A699E57C6C}"/>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426720</xdr:colOff>
          <xdr:row>6</xdr:row>
          <xdr:rowOff>68580</xdr:rowOff>
        </xdr:from>
        <xdr:to>
          <xdr:col>15</xdr:col>
          <xdr:colOff>289560</xdr:colOff>
          <xdr:row>10</xdr:row>
          <xdr:rowOff>68580</xdr:rowOff>
        </xdr:to>
        <xdr:sp macro="" textlink="">
          <xdr:nvSpPr>
            <xdr:cNvPr id="4097" name="Button 1" hidden="1">
              <a:extLst>
                <a:ext uri="{63B3BB69-23CF-44E3-9099-C40C66FF867C}">
                  <a14:compatExt spid="_x0000_s4097"/>
                </a:ext>
                <a:ext uri="{FF2B5EF4-FFF2-40B4-BE49-F238E27FC236}">
                  <a16:creationId xmlns:a16="http://schemas.microsoft.com/office/drawing/2014/main" id="{1768A789-4214-408F-BC5A-073B9AEADCDA}"/>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Portfolio Analyser</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15</xdr:col>
      <xdr:colOff>99060</xdr:colOff>
      <xdr:row>6</xdr:row>
      <xdr:rowOff>68580</xdr:rowOff>
    </xdr:from>
    <xdr:to>
      <xdr:col>22</xdr:col>
      <xdr:colOff>403860</xdr:colOff>
      <xdr:row>21</xdr:row>
      <xdr:rowOff>68580</xdr:rowOff>
    </xdr:to>
    <xdr:graphicFrame macro="">
      <xdr:nvGraphicFramePr>
        <xdr:cNvPr id="2" name="Chart 1">
          <a:extLst>
            <a:ext uri="{FF2B5EF4-FFF2-40B4-BE49-F238E27FC236}">
              <a16:creationId xmlns:a16="http://schemas.microsoft.com/office/drawing/2014/main" id="{9E6294DA-2606-3B40-A65E-A1445F342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4</xdr:row>
      <xdr:rowOff>129540</xdr:rowOff>
    </xdr:from>
    <xdr:to>
      <xdr:col>15</xdr:col>
      <xdr:colOff>228600</xdr:colOff>
      <xdr:row>19</xdr:row>
      <xdr:rowOff>129540</xdr:rowOff>
    </xdr:to>
    <xdr:graphicFrame macro="">
      <xdr:nvGraphicFramePr>
        <xdr:cNvPr id="2" name="Chart 1">
          <a:extLst>
            <a:ext uri="{FF2B5EF4-FFF2-40B4-BE49-F238E27FC236}">
              <a16:creationId xmlns:a16="http://schemas.microsoft.com/office/drawing/2014/main" id="{0C357D61-D63D-4A90-3AA8-EE1614ABB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106680</xdr:colOff>
      <xdr:row>5</xdr:row>
      <xdr:rowOff>121920</xdr:rowOff>
    </xdr:from>
    <xdr:to>
      <xdr:col>15</xdr:col>
      <xdr:colOff>411480</xdr:colOff>
      <xdr:row>20</xdr:row>
      <xdr:rowOff>121920</xdr:rowOff>
    </xdr:to>
    <xdr:graphicFrame macro="">
      <xdr:nvGraphicFramePr>
        <xdr:cNvPr id="2" name="Chart 1">
          <a:extLst>
            <a:ext uri="{FF2B5EF4-FFF2-40B4-BE49-F238E27FC236}">
              <a16:creationId xmlns:a16="http://schemas.microsoft.com/office/drawing/2014/main" id="{56597B61-BFF1-9DDF-F0AE-4D559726D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d6994fdd55ba896f/Documents/Day20_Correlation_Covariance_Tool.xlsm" TargetMode="External"/><Relationship Id="rId1" Type="http://schemas.openxmlformats.org/officeDocument/2006/relationships/externalLinkPath" Target="Day20_Correlation_Covariance_Too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AIL.NS"/>
      <sheetName val="RELIANCE.NS"/>
      <sheetName val="ONGC.NS"/>
      <sheetName val="IOC.NS"/>
      <sheetName val="RiskReturn"/>
      <sheetName val="Correlation"/>
      <sheetName val="Portfolio"/>
      <sheetName val="Summary"/>
    </sheetNames>
    <definedNames>
      <definedName name="Module5.Portfolio_Analyze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FAC1-99F6-4D97-9200-E5F7779FBF35}">
  <sheetPr codeName="Sheet7"/>
  <dimension ref="A1:H5"/>
  <sheetViews>
    <sheetView workbookViewId="0">
      <selection activeCell="F3" sqref="F2:F5"/>
    </sheetView>
  </sheetViews>
  <sheetFormatPr defaultRowHeight="14.4" x14ac:dyDescent="0.3"/>
  <sheetData>
    <row r="1" spans="1:8" x14ac:dyDescent="0.3">
      <c r="A1" s="43" t="s">
        <v>10</v>
      </c>
      <c r="B1" s="43" t="s">
        <v>67</v>
      </c>
      <c r="C1" s="43" t="s">
        <v>68</v>
      </c>
      <c r="D1" s="43" t="s">
        <v>69</v>
      </c>
      <c r="E1" s="43" t="s">
        <v>70</v>
      </c>
      <c r="F1" s="43" t="s">
        <v>65</v>
      </c>
      <c r="G1" s="44" t="s">
        <v>66</v>
      </c>
      <c r="H1" s="43" t="s">
        <v>71</v>
      </c>
    </row>
    <row r="2" spans="1:8" x14ac:dyDescent="0.3">
      <c r="A2" t="s">
        <v>6</v>
      </c>
      <c r="B2">
        <v>47</v>
      </c>
      <c r="C2" s="1">
        <v>198.52</v>
      </c>
      <c r="D2" s="1">
        <v>137.19</v>
      </c>
      <c r="E2" s="1">
        <f>B2*C2</f>
        <v>9330.44</v>
      </c>
      <c r="F2" s="1">
        <f>B2*D2</f>
        <v>6447.93</v>
      </c>
    </row>
    <row r="3" spans="1:8" x14ac:dyDescent="0.3">
      <c r="A3" t="s">
        <v>7</v>
      </c>
      <c r="B3">
        <v>1</v>
      </c>
      <c r="C3">
        <v>1165</v>
      </c>
      <c r="D3">
        <v>1220</v>
      </c>
      <c r="E3">
        <f>B3*C3</f>
        <v>1165</v>
      </c>
      <c r="F3" s="1">
        <f t="shared" ref="F3:F5" si="0">B3*D3</f>
        <v>1220</v>
      </c>
    </row>
    <row r="4" spans="1:8" x14ac:dyDescent="0.3">
      <c r="A4" t="s">
        <v>32</v>
      </c>
      <c r="B4">
        <v>2</v>
      </c>
      <c r="C4">
        <v>219</v>
      </c>
      <c r="D4">
        <v>235</v>
      </c>
      <c r="E4">
        <f t="shared" ref="E4:E5" si="1">B4*C4</f>
        <v>438</v>
      </c>
      <c r="F4" s="1">
        <f t="shared" si="0"/>
        <v>470</v>
      </c>
    </row>
    <row r="5" spans="1:8" x14ac:dyDescent="0.3">
      <c r="A5" t="s">
        <v>33</v>
      </c>
      <c r="B5">
        <v>3</v>
      </c>
      <c r="C5">
        <v>129.32</v>
      </c>
      <c r="D5">
        <v>135</v>
      </c>
      <c r="E5">
        <f t="shared" si="1"/>
        <v>387.96</v>
      </c>
      <c r="F5" s="1">
        <f t="shared" si="0"/>
        <v>405</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Button 1">
              <controlPr defaultSize="0" print="0" autoFill="0" autoPict="0" macro="[1]!Module5.Portfolio_Analyzer">
                <anchor moveWithCells="1" sizeWithCells="1">
                  <from>
                    <xdr:col>12</xdr:col>
                    <xdr:colOff>426720</xdr:colOff>
                    <xdr:row>6</xdr:row>
                    <xdr:rowOff>68580</xdr:rowOff>
                  </from>
                  <to>
                    <xdr:col>15</xdr:col>
                    <xdr:colOff>289560</xdr:colOff>
                    <xdr:row>10</xdr:row>
                    <xdr:rowOff>68580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0FCC4-93F6-4E74-9960-16EB08C2E326}">
  <dimension ref="A1:K11"/>
  <sheetViews>
    <sheetView showGridLines="0" zoomScaleNormal="100" workbookViewId="0">
      <selection activeCell="F26" sqref="F26"/>
    </sheetView>
  </sheetViews>
  <sheetFormatPr defaultRowHeight="14.4" x14ac:dyDescent="0.3"/>
  <cols>
    <col min="1" max="1" width="14" bestFit="1" customWidth="1"/>
    <col min="2" max="2" width="22.109375" bestFit="1" customWidth="1"/>
    <col min="3" max="3" width="13.21875" bestFit="1" customWidth="1"/>
    <col min="4" max="4" width="9.44140625" bestFit="1" customWidth="1"/>
    <col min="5" max="5" width="11" bestFit="1" customWidth="1"/>
    <col min="6" max="6" width="11.21875" bestFit="1" customWidth="1"/>
    <col min="7" max="7" width="12.5546875" bestFit="1" customWidth="1"/>
    <col min="8" max="8" width="17.33203125" bestFit="1" customWidth="1"/>
    <col min="9" max="9" width="9.21875" bestFit="1" customWidth="1"/>
    <col min="10" max="10" width="6.33203125" bestFit="1" customWidth="1"/>
    <col min="11" max="11" width="16.77734375" bestFit="1" customWidth="1"/>
  </cols>
  <sheetData>
    <row r="1" spans="1:11" x14ac:dyDescent="0.3">
      <c r="A1" s="1" t="s">
        <v>0</v>
      </c>
      <c r="B1" s="1" t="s">
        <v>1</v>
      </c>
      <c r="C1" s="1" t="s">
        <v>2</v>
      </c>
      <c r="D1" s="1" t="s">
        <v>3</v>
      </c>
      <c r="E1" s="1" t="s">
        <v>4</v>
      </c>
      <c r="F1" s="1" t="s">
        <v>5</v>
      </c>
      <c r="G1" s="1" t="s">
        <v>13</v>
      </c>
      <c r="H1" s="1" t="s">
        <v>18</v>
      </c>
      <c r="I1" s="1" t="s">
        <v>19</v>
      </c>
      <c r="J1" s="1" t="s">
        <v>20</v>
      </c>
      <c r="K1" s="6" t="s">
        <v>21</v>
      </c>
    </row>
    <row r="2" spans="1:11" x14ac:dyDescent="0.3">
      <c r="A2" s="1" t="s">
        <v>6</v>
      </c>
      <c r="B2" s="1" t="s">
        <v>10</v>
      </c>
      <c r="C2" s="1">
        <v>47</v>
      </c>
      <c r="D2" s="3">
        <v>137</v>
      </c>
      <c r="E2" s="3">
        <f>C2*D2</f>
        <v>6439</v>
      </c>
      <c r="F2" s="2">
        <f>E2/$E$6</f>
        <v>8.2362271198147846E-2</v>
      </c>
      <c r="G2" s="1" t="s">
        <v>14</v>
      </c>
      <c r="H2" s="4">
        <v>0.2</v>
      </c>
      <c r="I2" s="5">
        <f>F2-H2</f>
        <v>-0.11763772880185216</v>
      </c>
      <c r="J2" s="6" t="str">
        <f>IF(I2&gt;0.05,"Sell",IF(I2&lt;-0.05,"Buy","Hold"))</f>
        <v>Buy</v>
      </c>
      <c r="K2" s="7">
        <f>(H2*$E$6)-E2</f>
        <v>9196.8000000000011</v>
      </c>
    </row>
    <row r="3" spans="1:11" x14ac:dyDescent="0.3">
      <c r="A3" s="1" t="s">
        <v>7</v>
      </c>
      <c r="B3" s="1" t="s">
        <v>10</v>
      </c>
      <c r="C3" s="1">
        <v>1</v>
      </c>
      <c r="D3" s="3">
        <v>2900</v>
      </c>
      <c r="E3" s="3">
        <f t="shared" ref="E3:E5" si="0">C3*D3</f>
        <v>2900</v>
      </c>
      <c r="F3" s="2">
        <f t="shared" ref="F3:F5" si="1">E3/$E$6</f>
        <v>3.709436037810665E-2</v>
      </c>
      <c r="G3" s="1" t="s">
        <v>15</v>
      </c>
      <c r="H3" s="4">
        <v>0.2</v>
      </c>
      <c r="I3" s="5">
        <f t="shared" ref="I3:I5" si="2">F3-H3</f>
        <v>-0.16290563962189336</v>
      </c>
      <c r="J3" s="6" t="str">
        <f t="shared" ref="J3:J5" si="3">IF(I3&gt;0.05,"Sell",IF(I3&lt;-0.05,"Buy","Hold"))</f>
        <v>Buy</v>
      </c>
      <c r="K3" s="7">
        <f t="shared" ref="K3:K5" si="4">(H3*$E$6)-E3</f>
        <v>12735.800000000001</v>
      </c>
    </row>
    <row r="4" spans="1:11" x14ac:dyDescent="0.3">
      <c r="A4" s="1" t="s">
        <v>8</v>
      </c>
      <c r="B4" s="1" t="s">
        <v>11</v>
      </c>
      <c r="C4" s="1">
        <v>120</v>
      </c>
      <c r="D4" s="3">
        <v>32</v>
      </c>
      <c r="E4" s="3">
        <f t="shared" si="0"/>
        <v>3840</v>
      </c>
      <c r="F4" s="2">
        <f t="shared" si="1"/>
        <v>4.9118049604113638E-2</v>
      </c>
      <c r="G4" s="1" t="s">
        <v>16</v>
      </c>
      <c r="H4" s="4">
        <v>0.2</v>
      </c>
      <c r="I4" s="5">
        <f t="shared" si="2"/>
        <v>-0.15088195039588637</v>
      </c>
      <c r="J4" s="6" t="str">
        <f t="shared" si="3"/>
        <v>Buy</v>
      </c>
      <c r="K4" s="7">
        <f t="shared" si="4"/>
        <v>11795.800000000001</v>
      </c>
    </row>
    <row r="5" spans="1:11" x14ac:dyDescent="0.3">
      <c r="A5" s="1" t="s">
        <v>9</v>
      </c>
      <c r="B5" s="1" t="s">
        <v>11</v>
      </c>
      <c r="C5" s="1">
        <v>50</v>
      </c>
      <c r="D5" s="3">
        <v>1300</v>
      </c>
      <c r="E5" s="3">
        <f t="shared" si="0"/>
        <v>65000</v>
      </c>
      <c r="F5" s="2">
        <f t="shared" si="1"/>
        <v>0.83142531881963189</v>
      </c>
      <c r="G5" s="1" t="s">
        <v>17</v>
      </c>
      <c r="H5" s="4">
        <v>0.2</v>
      </c>
      <c r="I5" s="5">
        <f t="shared" si="2"/>
        <v>0.63142531881963193</v>
      </c>
      <c r="J5" s="6" t="str">
        <f t="shared" si="3"/>
        <v>Sell</v>
      </c>
      <c r="K5" s="7">
        <f t="shared" si="4"/>
        <v>-49364.2</v>
      </c>
    </row>
    <row r="6" spans="1:11" x14ac:dyDescent="0.3">
      <c r="A6" s="1"/>
      <c r="B6" s="1"/>
      <c r="C6" s="14" t="s">
        <v>12</v>
      </c>
      <c r="D6" s="14"/>
      <c r="E6" s="3">
        <f>SUM(E2:E5)</f>
        <v>78179</v>
      </c>
      <c r="F6" s="1"/>
      <c r="G6" s="1"/>
    </row>
    <row r="11" spans="1:11" x14ac:dyDescent="0.3">
      <c r="B11" s="15" t="s">
        <v>74</v>
      </c>
      <c r="C11" s="15"/>
      <c r="D11" s="15"/>
    </row>
  </sheetData>
  <mergeCells count="2">
    <mergeCell ref="C6:D6"/>
    <mergeCell ref="B11:D1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FAF76-E82B-4C24-AB35-3C3DF1CEE16B}">
  <dimension ref="A1:H12"/>
  <sheetViews>
    <sheetView showGridLines="0" workbookViewId="0">
      <selection activeCell="E10" sqref="E10:H12"/>
    </sheetView>
  </sheetViews>
  <sheetFormatPr defaultRowHeight="14.4" x14ac:dyDescent="0.3"/>
  <cols>
    <col min="1" max="1" width="18.33203125" bestFit="1" customWidth="1"/>
    <col min="2" max="2" width="10.5546875" bestFit="1" customWidth="1"/>
  </cols>
  <sheetData>
    <row r="1" spans="1:8" x14ac:dyDescent="0.3">
      <c r="A1" s="6" t="s">
        <v>22</v>
      </c>
      <c r="B1" s="6">
        <v>5000000</v>
      </c>
    </row>
    <row r="2" spans="1:8" x14ac:dyDescent="0.3">
      <c r="A2" s="6" t="s">
        <v>23</v>
      </c>
      <c r="B2" s="6">
        <v>10</v>
      </c>
    </row>
    <row r="3" spans="1:8" x14ac:dyDescent="0.3">
      <c r="A3" s="6" t="s">
        <v>24</v>
      </c>
      <c r="B3" s="4">
        <v>0.12</v>
      </c>
    </row>
    <row r="4" spans="1:8" x14ac:dyDescent="0.3">
      <c r="A4" s="6" t="s">
        <v>25</v>
      </c>
      <c r="B4" s="6">
        <f>B2*12</f>
        <v>120</v>
      </c>
    </row>
    <row r="5" spans="1:8" x14ac:dyDescent="0.3">
      <c r="A5" s="6" t="s">
        <v>26</v>
      </c>
      <c r="B5" s="8">
        <f>B3/12</f>
        <v>0.01</v>
      </c>
    </row>
    <row r="6" spans="1:8" x14ac:dyDescent="0.3">
      <c r="A6" s="6" t="s">
        <v>27</v>
      </c>
      <c r="B6" s="9">
        <f>PMT(B5,B4,0,-B1)</f>
        <v>21735.47420129368</v>
      </c>
    </row>
    <row r="10" spans="1:8" x14ac:dyDescent="0.3">
      <c r="E10" s="16" t="s">
        <v>28</v>
      </c>
      <c r="F10" s="16"/>
      <c r="G10" s="16"/>
      <c r="H10" s="16"/>
    </row>
    <row r="11" spans="1:8" x14ac:dyDescent="0.3">
      <c r="E11" s="16"/>
      <c r="F11" s="16"/>
      <c r="G11" s="16"/>
      <c r="H11" s="16"/>
    </row>
    <row r="12" spans="1:8" x14ac:dyDescent="0.3">
      <c r="E12" s="16"/>
      <c r="F12" s="16"/>
      <c r="G12" s="16"/>
      <c r="H12" s="16"/>
    </row>
  </sheetData>
  <mergeCells count="1">
    <mergeCell ref="E10:H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D750-1935-4055-9666-44B20D52E7A4}">
  <dimension ref="A1:D9"/>
  <sheetViews>
    <sheetView showGridLines="0" workbookViewId="0">
      <selection activeCell="H3" sqref="H3"/>
    </sheetView>
  </sheetViews>
  <sheetFormatPr defaultRowHeight="14.4" x14ac:dyDescent="0.3"/>
  <sheetData>
    <row r="1" spans="1:4" x14ac:dyDescent="0.3">
      <c r="A1" s="10" t="s">
        <v>10</v>
      </c>
      <c r="B1" s="10" t="s">
        <v>29</v>
      </c>
      <c r="C1" s="10" t="s">
        <v>30</v>
      </c>
      <c r="D1" s="10" t="s">
        <v>31</v>
      </c>
    </row>
    <row r="2" spans="1:4" x14ac:dyDescent="0.3">
      <c r="A2" s="6" t="s">
        <v>6</v>
      </c>
      <c r="B2" s="4">
        <v>0.4</v>
      </c>
      <c r="C2" s="4">
        <v>0.1</v>
      </c>
      <c r="D2" s="4">
        <v>0.15</v>
      </c>
    </row>
    <row r="3" spans="1:4" x14ac:dyDescent="0.3">
      <c r="A3" s="6" t="s">
        <v>7</v>
      </c>
      <c r="B3" s="4">
        <v>0.3</v>
      </c>
      <c r="C3" s="4">
        <v>0.12</v>
      </c>
      <c r="D3" s="4">
        <v>0.18</v>
      </c>
    </row>
    <row r="4" spans="1:4" x14ac:dyDescent="0.3">
      <c r="A4" s="6" t="s">
        <v>32</v>
      </c>
      <c r="B4" s="4">
        <v>0.2</v>
      </c>
      <c r="C4" s="4">
        <v>0.08</v>
      </c>
      <c r="D4" s="4">
        <v>0.12</v>
      </c>
    </row>
    <row r="5" spans="1:4" x14ac:dyDescent="0.3">
      <c r="A5" s="6" t="s">
        <v>33</v>
      </c>
      <c r="B5" s="4">
        <v>0.1</v>
      </c>
      <c r="C5" s="4">
        <v>7.0000000000000007E-2</v>
      </c>
      <c r="D5" s="4">
        <v>0.1</v>
      </c>
    </row>
    <row r="7" spans="1:4" x14ac:dyDescent="0.3">
      <c r="A7" s="12" t="s">
        <v>34</v>
      </c>
      <c r="B7" s="12"/>
      <c r="C7" s="11">
        <f>SUMPRODUCT(B2:B5,C2:C5)</f>
        <v>9.9000000000000019E-2</v>
      </c>
    </row>
    <row r="8" spans="1:4" x14ac:dyDescent="0.3">
      <c r="A8" s="12" t="s">
        <v>35</v>
      </c>
      <c r="B8" s="12"/>
      <c r="C8" s="11">
        <f>SQRT(SUMPRODUCT((B2:B5^2),(D2:D5^2)))</f>
        <v>8.4805660188456769E-2</v>
      </c>
    </row>
    <row r="9" spans="1:4" x14ac:dyDescent="0.3">
      <c r="A9" s="13"/>
      <c r="B9" s="13"/>
    </row>
  </sheetData>
  <mergeCells count="3">
    <mergeCell ref="A7:B7"/>
    <mergeCell ref="A8:B8"/>
    <mergeCell ref="A9:B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A025-BDB8-403B-81DB-BFE8AB8E5490}">
  <sheetPr codeName="Sheet9"/>
  <dimension ref="A1:Z100"/>
  <sheetViews>
    <sheetView showGridLines="0" topLeftCell="B1" zoomScale="73" workbookViewId="0">
      <selection activeCell="J16" sqref="J16:P16"/>
    </sheetView>
  </sheetViews>
  <sheetFormatPr defaultRowHeight="14.4" x14ac:dyDescent="0.3"/>
  <cols>
    <col min="1" max="1" width="11.88671875" bestFit="1" customWidth="1"/>
    <col min="2" max="2" width="7.5546875" bestFit="1" customWidth="1"/>
    <col min="3" max="3" width="11.88671875" bestFit="1" customWidth="1"/>
    <col min="4" max="4" width="8.77734375" bestFit="1" customWidth="1"/>
    <col min="5" max="5" width="6.77734375" bestFit="1" customWidth="1"/>
    <col min="10" max="10" width="28.77734375" bestFit="1" customWidth="1"/>
    <col min="12" max="12" width="27.33203125" customWidth="1"/>
    <col min="14" max="14" width="27.44140625" customWidth="1"/>
    <col min="16" max="16" width="36.5546875" customWidth="1"/>
  </cols>
  <sheetData>
    <row r="1" spans="1:26" x14ac:dyDescent="0.3">
      <c r="B1" t="s">
        <v>36</v>
      </c>
      <c r="C1" t="s">
        <v>37</v>
      </c>
      <c r="D1" t="s">
        <v>38</v>
      </c>
      <c r="E1" t="s">
        <v>39</v>
      </c>
    </row>
    <row r="2" spans="1:26" x14ac:dyDescent="0.3">
      <c r="A2" t="s">
        <v>36</v>
      </c>
      <c r="B2" s="17">
        <v>1</v>
      </c>
      <c r="C2" s="17">
        <v>-0.13475670414783167</v>
      </c>
      <c r="D2" s="17">
        <v>-1.2630324881541654E-3</v>
      </c>
      <c r="E2" s="17">
        <v>1.3035405013129128E-2</v>
      </c>
      <c r="F2" s="17"/>
      <c r="G2" s="17"/>
      <c r="H2" s="17"/>
      <c r="I2" s="17"/>
      <c r="J2" s="17"/>
      <c r="K2" s="17"/>
      <c r="L2" s="17"/>
      <c r="M2" s="17"/>
      <c r="N2" s="17"/>
      <c r="O2" s="17"/>
      <c r="P2" s="17"/>
      <c r="Q2" s="17"/>
      <c r="R2" s="17"/>
      <c r="S2" s="17"/>
      <c r="T2" s="17"/>
      <c r="U2" s="17"/>
      <c r="V2" s="17"/>
      <c r="W2" s="17"/>
      <c r="X2" s="17"/>
      <c r="Y2" s="17"/>
      <c r="Z2" s="17"/>
    </row>
    <row r="3" spans="1:26" ht="15" thickBot="1" x14ac:dyDescent="0.35">
      <c r="A3" t="s">
        <v>37</v>
      </c>
      <c r="B3" s="17">
        <v>-0.13475670414783167</v>
      </c>
      <c r="C3" s="17">
        <v>1</v>
      </c>
      <c r="D3" s="17">
        <v>0.20127259908650538</v>
      </c>
      <c r="E3" s="17">
        <v>0.36623807850811319</v>
      </c>
      <c r="F3" s="17"/>
      <c r="G3" s="17"/>
      <c r="H3" s="17"/>
      <c r="I3" s="17"/>
      <c r="J3" s="17"/>
      <c r="K3" s="17"/>
      <c r="L3" s="17"/>
      <c r="M3" s="17"/>
      <c r="N3" s="17"/>
      <c r="O3" s="17"/>
      <c r="P3" s="17"/>
      <c r="Q3" s="17"/>
      <c r="R3" s="17"/>
      <c r="S3" s="17"/>
      <c r="T3" s="17"/>
      <c r="U3" s="17"/>
      <c r="V3" s="17"/>
      <c r="W3" s="17"/>
      <c r="X3" s="17"/>
      <c r="Y3" s="17"/>
      <c r="Z3" s="17"/>
    </row>
    <row r="4" spans="1:26" x14ac:dyDescent="0.3">
      <c r="A4" t="s">
        <v>38</v>
      </c>
      <c r="B4" s="17">
        <v>-1.2630324881541654E-3</v>
      </c>
      <c r="C4" s="17">
        <v>0.20127259908650538</v>
      </c>
      <c r="D4" s="17">
        <v>0.99999999999999989</v>
      </c>
      <c r="E4" s="17">
        <v>0.23755036992581446</v>
      </c>
      <c r="F4" s="17"/>
      <c r="G4" s="17"/>
      <c r="H4" s="17"/>
      <c r="I4" s="17"/>
      <c r="J4" s="18" t="s">
        <v>40</v>
      </c>
      <c r="K4" s="17"/>
      <c r="L4" s="19" t="s">
        <v>41</v>
      </c>
      <c r="M4" s="17"/>
      <c r="N4" s="20" t="s">
        <v>42</v>
      </c>
      <c r="O4" s="17"/>
      <c r="P4" s="21" t="s">
        <v>43</v>
      </c>
      <c r="Q4" s="17"/>
      <c r="R4" s="17"/>
      <c r="S4" s="17"/>
      <c r="T4" s="17"/>
      <c r="U4" s="17"/>
      <c r="V4" s="17"/>
      <c r="W4" s="17"/>
      <c r="X4" s="17"/>
      <c r="Y4" s="17"/>
      <c r="Z4" s="17"/>
    </row>
    <row r="5" spans="1:26" ht="28.8" x14ac:dyDescent="0.3">
      <c r="A5" t="s">
        <v>39</v>
      </c>
      <c r="B5" s="17">
        <v>1.3035405013129128E-2</v>
      </c>
      <c r="C5" s="17">
        <v>0.36623807850811319</v>
      </c>
      <c r="D5" s="17">
        <v>0.23755036992581446</v>
      </c>
      <c r="E5" s="17">
        <v>1.0000000000000002</v>
      </c>
      <c r="F5" s="17"/>
      <c r="G5" s="17"/>
      <c r="H5" s="17"/>
      <c r="I5" s="17"/>
      <c r="J5" s="22" t="s">
        <v>44</v>
      </c>
      <c r="K5" s="17"/>
      <c r="L5" s="23" t="s">
        <v>45</v>
      </c>
      <c r="M5" s="17"/>
      <c r="N5" s="24" t="s">
        <v>46</v>
      </c>
      <c r="O5" s="17"/>
      <c r="P5" s="25" t="s">
        <v>47</v>
      </c>
      <c r="Q5" s="17"/>
      <c r="R5" s="17"/>
      <c r="S5" s="17"/>
      <c r="T5" s="17"/>
      <c r="U5" s="17"/>
      <c r="V5" s="17"/>
      <c r="W5" s="17"/>
      <c r="X5" s="17"/>
      <c r="Y5" s="17"/>
      <c r="Z5" s="17"/>
    </row>
    <row r="6" spans="1:26" x14ac:dyDescent="0.3">
      <c r="B6" s="17"/>
      <c r="C6" s="17"/>
      <c r="D6" s="17"/>
      <c r="E6" s="17"/>
      <c r="F6" s="17"/>
      <c r="G6" s="17"/>
      <c r="H6" s="17"/>
      <c r="I6" s="17"/>
      <c r="J6" s="22" t="s">
        <v>48</v>
      </c>
      <c r="K6" s="17"/>
      <c r="L6" s="26" t="s">
        <v>49</v>
      </c>
      <c r="M6" s="17"/>
      <c r="N6" s="27" t="s">
        <v>50</v>
      </c>
      <c r="O6" s="17"/>
      <c r="P6" s="25" t="s">
        <v>51</v>
      </c>
      <c r="Q6" s="17"/>
      <c r="R6" s="17"/>
      <c r="S6" s="17"/>
      <c r="T6" s="17"/>
      <c r="U6" s="17"/>
      <c r="V6" s="17"/>
      <c r="W6" s="17"/>
      <c r="X6" s="17"/>
      <c r="Y6" s="17"/>
      <c r="Z6" s="17"/>
    </row>
    <row r="7" spans="1:26" x14ac:dyDescent="0.3">
      <c r="B7" s="17"/>
      <c r="C7" s="17"/>
      <c r="D7" s="17"/>
      <c r="E7" s="17"/>
      <c r="F7" s="17"/>
      <c r="G7" s="17"/>
      <c r="H7" s="17"/>
      <c r="I7" s="17"/>
      <c r="J7" s="22" t="s">
        <v>52</v>
      </c>
      <c r="K7" s="17"/>
      <c r="L7" s="26"/>
      <c r="M7" s="17"/>
      <c r="N7" s="28"/>
      <c r="O7" s="17"/>
      <c r="P7" s="25"/>
      <c r="Q7" s="17"/>
      <c r="R7" s="17"/>
      <c r="S7" s="17"/>
      <c r="T7" s="17"/>
      <c r="U7" s="17"/>
      <c r="V7" s="17"/>
      <c r="W7" s="17"/>
      <c r="X7" s="17"/>
      <c r="Y7" s="17"/>
      <c r="Z7" s="17"/>
    </row>
    <row r="8" spans="1:26" x14ac:dyDescent="0.3">
      <c r="B8" s="17"/>
      <c r="C8" s="17"/>
      <c r="D8" s="17"/>
      <c r="E8" s="17"/>
      <c r="F8" s="17"/>
      <c r="G8" s="17"/>
      <c r="H8" s="17"/>
      <c r="I8" s="17"/>
      <c r="J8" s="22"/>
      <c r="K8" s="17"/>
      <c r="L8" s="26"/>
      <c r="M8" s="17"/>
      <c r="N8" s="27"/>
      <c r="O8" s="17"/>
      <c r="P8" s="25"/>
      <c r="Q8" s="17"/>
      <c r="R8" s="17"/>
      <c r="S8" s="17"/>
      <c r="T8" s="17"/>
      <c r="U8" s="17"/>
      <c r="V8" s="17"/>
      <c r="W8" s="17"/>
      <c r="X8" s="17"/>
      <c r="Y8" s="17"/>
      <c r="Z8" s="17"/>
    </row>
    <row r="9" spans="1:26" x14ac:dyDescent="0.3">
      <c r="B9" s="17"/>
      <c r="C9" s="17"/>
      <c r="D9" s="17"/>
      <c r="E9" s="17"/>
      <c r="F9" s="17"/>
      <c r="G9" s="17"/>
      <c r="H9" s="17"/>
      <c r="I9" s="17"/>
      <c r="J9" s="29" t="s">
        <v>53</v>
      </c>
      <c r="K9" s="17"/>
      <c r="L9" s="30" t="s">
        <v>53</v>
      </c>
      <c r="M9" s="17"/>
      <c r="N9" s="31" t="s">
        <v>53</v>
      </c>
      <c r="O9" s="17"/>
      <c r="P9" s="32" t="s">
        <v>53</v>
      </c>
      <c r="Q9" s="17"/>
      <c r="R9" s="17"/>
      <c r="S9" s="17"/>
      <c r="T9" s="17"/>
      <c r="U9" s="17"/>
      <c r="V9" s="17"/>
      <c r="W9" s="17"/>
      <c r="X9" s="17"/>
      <c r="Y9" s="17"/>
      <c r="Z9" s="17"/>
    </row>
    <row r="10" spans="1:26" x14ac:dyDescent="0.3">
      <c r="B10" s="17"/>
      <c r="C10" s="17"/>
      <c r="D10" s="17"/>
      <c r="E10" s="17"/>
      <c r="F10" s="17"/>
      <c r="G10" s="17"/>
      <c r="H10" s="17"/>
      <c r="I10" s="17"/>
      <c r="J10" s="22" t="s">
        <v>54</v>
      </c>
      <c r="K10" s="17"/>
      <c r="L10" s="26" t="s">
        <v>55</v>
      </c>
      <c r="M10" s="17"/>
      <c r="N10" s="27" t="s">
        <v>56</v>
      </c>
      <c r="O10" s="17"/>
      <c r="P10" s="25" t="s">
        <v>57</v>
      </c>
      <c r="Q10" s="17"/>
      <c r="R10" s="17"/>
      <c r="S10" s="17"/>
      <c r="T10" s="17"/>
      <c r="U10" s="17"/>
      <c r="V10" s="17"/>
      <c r="W10" s="17"/>
      <c r="X10" s="17"/>
      <c r="Y10" s="17"/>
      <c r="Z10" s="17"/>
    </row>
    <row r="11" spans="1:26" ht="15" thickBot="1" x14ac:dyDescent="0.35">
      <c r="B11" s="17"/>
      <c r="C11" s="17"/>
      <c r="D11" s="17"/>
      <c r="E11" s="17"/>
      <c r="F11" s="17"/>
      <c r="G11" s="17"/>
      <c r="H11" s="17"/>
      <c r="I11" s="17"/>
      <c r="J11" s="33" t="s">
        <v>58</v>
      </c>
      <c r="K11" s="17"/>
      <c r="L11" s="34" t="s">
        <v>59</v>
      </c>
      <c r="M11" s="17"/>
      <c r="N11" s="35"/>
      <c r="O11" s="17"/>
      <c r="P11" s="36" t="s">
        <v>60</v>
      </c>
      <c r="Q11" s="17"/>
      <c r="R11" s="17"/>
      <c r="S11" s="17"/>
      <c r="T11" s="17"/>
      <c r="U11" s="17"/>
      <c r="V11" s="17"/>
      <c r="W11" s="17"/>
      <c r="X11" s="17"/>
      <c r="Y11" s="17"/>
      <c r="Z11" s="17"/>
    </row>
    <row r="12" spans="1:26" x14ac:dyDescent="0.3">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x14ac:dyDescent="0.3">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x14ac:dyDescent="0.3">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ht="15" thickBot="1" x14ac:dyDescent="0.35">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ht="15" thickBot="1" x14ac:dyDescent="0.35">
      <c r="B16" s="17"/>
      <c r="C16" s="17"/>
      <c r="D16" s="17"/>
      <c r="E16" s="17"/>
      <c r="F16" s="17"/>
      <c r="G16" s="17"/>
      <c r="H16" s="17"/>
      <c r="I16" s="17"/>
      <c r="J16" s="37" t="s">
        <v>61</v>
      </c>
      <c r="K16" s="38"/>
      <c r="L16" s="38"/>
      <c r="M16" s="38"/>
      <c r="N16" s="38"/>
      <c r="O16" s="38"/>
      <c r="P16" s="39"/>
      <c r="Q16" s="17"/>
      <c r="R16" s="17"/>
      <c r="S16" s="17"/>
      <c r="T16" s="17"/>
      <c r="U16" s="17"/>
      <c r="V16" s="17"/>
      <c r="W16" s="17"/>
      <c r="X16" s="17"/>
      <c r="Y16" s="17"/>
      <c r="Z16" s="17"/>
    </row>
    <row r="17" spans="2:26" ht="15" thickBot="1" x14ac:dyDescent="0.35">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2:26" ht="103.8" customHeight="1" thickBot="1" x14ac:dyDescent="0.35">
      <c r="B18" s="17"/>
      <c r="C18" s="17"/>
      <c r="D18" s="17"/>
      <c r="E18" s="17"/>
      <c r="F18" s="17"/>
      <c r="G18" s="17"/>
      <c r="H18" s="17"/>
      <c r="I18" s="17"/>
      <c r="J18" s="40" t="s">
        <v>62</v>
      </c>
      <c r="K18" s="41"/>
      <c r="L18" s="41"/>
      <c r="M18" s="41"/>
      <c r="N18" s="41"/>
      <c r="O18" s="41"/>
      <c r="P18" s="42"/>
      <c r="Q18" s="17"/>
      <c r="R18" s="17"/>
      <c r="S18" s="17"/>
      <c r="T18" s="17"/>
      <c r="U18" s="17"/>
      <c r="V18" s="17"/>
      <c r="W18" s="17"/>
      <c r="X18" s="17"/>
      <c r="Y18" s="17"/>
      <c r="Z18" s="17"/>
    </row>
    <row r="19" spans="2:26" x14ac:dyDescent="0.3">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2:26" x14ac:dyDescent="0.3">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2:26" x14ac:dyDescent="0.3">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2:26" x14ac:dyDescent="0.3">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2:26" x14ac:dyDescent="0.3">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2:26" x14ac:dyDescent="0.3">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2:26" x14ac:dyDescent="0.3">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2:26" x14ac:dyDescent="0.3">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2:26" x14ac:dyDescent="0.3">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2:26" x14ac:dyDescent="0.3">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2:26" x14ac:dyDescent="0.3">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2:26" x14ac:dyDescent="0.3">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2:26" x14ac:dyDescent="0.3">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2:26" x14ac:dyDescent="0.3">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2:26" x14ac:dyDescent="0.3">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2:26" x14ac:dyDescent="0.3">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2:26" x14ac:dyDescent="0.3">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2:26" x14ac:dyDescent="0.3">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2:26" x14ac:dyDescent="0.3">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2:26" x14ac:dyDescent="0.3">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2:26" x14ac:dyDescent="0.3">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2:26" x14ac:dyDescent="0.3">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2:26" x14ac:dyDescent="0.3">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2:26" x14ac:dyDescent="0.3">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2:26" x14ac:dyDescent="0.3">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2:26" x14ac:dyDescent="0.3">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2:26" x14ac:dyDescent="0.3">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2:26" x14ac:dyDescent="0.3">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2:26" x14ac:dyDescent="0.3">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2:26" x14ac:dyDescent="0.3">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2:26" x14ac:dyDescent="0.3">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2:26" x14ac:dyDescent="0.3">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2:26" x14ac:dyDescent="0.3">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2:26" x14ac:dyDescent="0.3">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2:26" x14ac:dyDescent="0.3">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2:26" x14ac:dyDescent="0.3">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2:26" x14ac:dyDescent="0.3">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2:26" x14ac:dyDescent="0.3">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2:26" x14ac:dyDescent="0.3">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2:26" x14ac:dyDescent="0.3">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2:26" x14ac:dyDescent="0.3">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2:26" x14ac:dyDescent="0.3">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2:26" x14ac:dyDescent="0.3">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2:26" x14ac:dyDescent="0.3">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2:26" x14ac:dyDescent="0.3">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2:26" x14ac:dyDescent="0.3">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2:26" x14ac:dyDescent="0.3">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2:26" x14ac:dyDescent="0.3">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2:26" x14ac:dyDescent="0.3">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2:26" x14ac:dyDescent="0.3">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2:26" x14ac:dyDescent="0.3">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2:26" x14ac:dyDescent="0.3">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2:26" x14ac:dyDescent="0.3">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2:26" x14ac:dyDescent="0.3">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2:26" x14ac:dyDescent="0.3">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2:26" x14ac:dyDescent="0.3">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2:26" x14ac:dyDescent="0.3">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2:26" x14ac:dyDescent="0.3">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2:26" x14ac:dyDescent="0.3">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2:26" x14ac:dyDescent="0.3">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2:26" x14ac:dyDescent="0.3">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2:26" x14ac:dyDescent="0.3">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2:26" x14ac:dyDescent="0.3">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2:26" x14ac:dyDescent="0.3">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2:26" x14ac:dyDescent="0.3">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2:26" x14ac:dyDescent="0.3">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2:26" x14ac:dyDescent="0.3">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2:26" x14ac:dyDescent="0.3">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2:26" x14ac:dyDescent="0.3">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2:26" x14ac:dyDescent="0.3">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2:26" x14ac:dyDescent="0.3">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2:26" x14ac:dyDescent="0.3">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2:26" x14ac:dyDescent="0.3">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2:26" x14ac:dyDescent="0.3">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2:26" x14ac:dyDescent="0.3">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2:26" x14ac:dyDescent="0.3">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2:26" x14ac:dyDescent="0.3">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2:26" x14ac:dyDescent="0.3">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2:26" x14ac:dyDescent="0.3">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2:26" x14ac:dyDescent="0.3">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2:26" x14ac:dyDescent="0.3">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2:26" x14ac:dyDescent="0.3">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sheetData>
  <mergeCells count="2">
    <mergeCell ref="J16:P16"/>
    <mergeCell ref="J18:P18"/>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FD497-F45F-449C-AC81-551D9F22B03B}">
  <dimension ref="B2:P24"/>
  <sheetViews>
    <sheetView showGridLines="0" tabSelected="1" workbookViewId="0">
      <selection activeCell="U2" sqref="U2"/>
    </sheetView>
  </sheetViews>
  <sheetFormatPr defaultRowHeight="13.2" x14ac:dyDescent="0.25"/>
  <cols>
    <col min="1" max="2" width="8.88671875" style="54"/>
    <col min="3" max="3" width="17.6640625" style="54" bestFit="1" customWidth="1"/>
    <col min="4" max="4" width="11.5546875" style="54" customWidth="1"/>
    <col min="5" max="5" width="12.33203125" style="54" customWidth="1"/>
    <col min="6" max="16384" width="8.88671875" style="54"/>
  </cols>
  <sheetData>
    <row r="2" spans="2:16" ht="13.8" thickBot="1" x14ac:dyDescent="0.3"/>
    <row r="3" spans="2:16" x14ac:dyDescent="0.25">
      <c r="B3" s="45" t="s">
        <v>63</v>
      </c>
      <c r="C3" s="46"/>
      <c r="D3" s="46"/>
      <c r="E3" s="46"/>
      <c r="F3" s="46"/>
      <c r="G3" s="46"/>
      <c r="H3" s="46"/>
      <c r="I3" s="46"/>
      <c r="J3" s="46"/>
      <c r="K3" s="46"/>
      <c r="L3" s="46"/>
      <c r="M3" s="46"/>
      <c r="N3" s="46"/>
      <c r="O3" s="46"/>
      <c r="P3" s="49"/>
    </row>
    <row r="4" spans="2:16" x14ac:dyDescent="0.25">
      <c r="B4" s="47"/>
      <c r="C4" s="48"/>
      <c r="D4" s="48"/>
      <c r="E4" s="48"/>
      <c r="F4" s="48"/>
      <c r="G4" s="48"/>
      <c r="H4" s="48"/>
      <c r="I4" s="48"/>
      <c r="J4" s="48"/>
      <c r="K4" s="48"/>
      <c r="L4" s="48"/>
      <c r="M4" s="48"/>
      <c r="N4" s="48"/>
      <c r="O4" s="48"/>
      <c r="P4" s="50"/>
    </row>
    <row r="5" spans="2:16" ht="13.8" thickBot="1" x14ac:dyDescent="0.3">
      <c r="B5" s="51"/>
      <c r="C5" s="52"/>
      <c r="D5" s="52"/>
      <c r="E5" s="52"/>
      <c r="F5" s="52"/>
      <c r="G5" s="52"/>
      <c r="H5" s="52"/>
      <c r="I5" s="52"/>
      <c r="J5" s="52"/>
      <c r="K5" s="52"/>
      <c r="L5" s="52"/>
      <c r="M5" s="52"/>
      <c r="N5" s="52"/>
      <c r="O5" s="52"/>
      <c r="P5" s="53"/>
    </row>
    <row r="6" spans="2:16" x14ac:dyDescent="0.25">
      <c r="B6" s="55"/>
      <c r="C6" s="56"/>
      <c r="D6" s="56"/>
      <c r="E6" s="56"/>
      <c r="F6" s="56"/>
      <c r="G6" s="56"/>
      <c r="H6" s="56"/>
      <c r="I6" s="56"/>
      <c r="J6" s="56"/>
      <c r="K6" s="56"/>
      <c r="L6" s="56"/>
      <c r="M6" s="56"/>
      <c r="N6" s="56"/>
      <c r="O6" s="56"/>
      <c r="P6" s="57"/>
    </row>
    <row r="7" spans="2:16" x14ac:dyDescent="0.25">
      <c r="B7" s="55"/>
      <c r="C7" s="58" t="s">
        <v>64</v>
      </c>
      <c r="D7" s="59">
        <f>SUM(D12:D15)</f>
        <v>11321.4</v>
      </c>
      <c r="E7" s="56"/>
      <c r="F7" s="56"/>
      <c r="G7" s="56"/>
      <c r="H7" s="56"/>
      <c r="I7" s="56"/>
      <c r="J7" s="56"/>
      <c r="K7" s="56"/>
      <c r="L7" s="56"/>
      <c r="M7" s="56"/>
      <c r="N7" s="56"/>
      <c r="O7" s="56"/>
      <c r="P7" s="57"/>
    </row>
    <row r="8" spans="2:16" x14ac:dyDescent="0.25">
      <c r="B8" s="55"/>
      <c r="C8" s="60" t="s">
        <v>65</v>
      </c>
      <c r="D8" s="61">
        <f>SUM(Portfolio!F2:F5)</f>
        <v>8542.93</v>
      </c>
      <c r="E8" s="56"/>
      <c r="F8" s="56"/>
      <c r="G8" s="56"/>
      <c r="H8" s="56"/>
      <c r="I8" s="56"/>
      <c r="J8" s="56"/>
      <c r="K8" s="56"/>
      <c r="L8" s="56"/>
      <c r="M8" s="56"/>
      <c r="N8" s="56"/>
      <c r="O8" s="56"/>
      <c r="P8" s="57"/>
    </row>
    <row r="9" spans="2:16" x14ac:dyDescent="0.25">
      <c r="B9" s="55"/>
      <c r="C9" s="62" t="s">
        <v>66</v>
      </c>
      <c r="D9" s="63">
        <f>(D8/D7)-1</f>
        <v>-0.2454175278675782</v>
      </c>
      <c r="E9" s="56"/>
      <c r="F9" s="56"/>
      <c r="G9" s="56"/>
      <c r="H9" s="56"/>
      <c r="I9" s="56"/>
      <c r="J9" s="56"/>
      <c r="K9" s="56"/>
      <c r="L9" s="56"/>
      <c r="M9" s="56"/>
      <c r="N9" s="56"/>
      <c r="O9" s="56"/>
      <c r="P9" s="57"/>
    </row>
    <row r="10" spans="2:16" x14ac:dyDescent="0.25">
      <c r="B10" s="55"/>
      <c r="C10" s="56"/>
      <c r="D10" s="56"/>
      <c r="E10" s="56"/>
      <c r="F10" s="56"/>
      <c r="G10" s="56"/>
      <c r="H10" s="56"/>
      <c r="I10" s="56"/>
      <c r="J10" s="56"/>
      <c r="K10" s="56"/>
      <c r="L10" s="56"/>
      <c r="M10" s="56"/>
      <c r="N10" s="56"/>
      <c r="O10" s="56"/>
      <c r="P10" s="57"/>
    </row>
    <row r="11" spans="2:16" x14ac:dyDescent="0.25">
      <c r="B11" s="55"/>
      <c r="C11" s="58" t="s">
        <v>10</v>
      </c>
      <c r="D11" s="64" t="s">
        <v>70</v>
      </c>
      <c r="E11" s="64" t="s">
        <v>65</v>
      </c>
      <c r="F11" s="65" t="s">
        <v>66</v>
      </c>
      <c r="G11" s="56"/>
      <c r="H11" s="56"/>
      <c r="I11" s="56"/>
      <c r="J11" s="56"/>
      <c r="K11" s="56"/>
      <c r="L11" s="56"/>
      <c r="M11" s="56"/>
      <c r="N11" s="56"/>
      <c r="O11" s="56"/>
      <c r="P11" s="57"/>
    </row>
    <row r="12" spans="2:16" x14ac:dyDescent="0.25">
      <c r="B12" s="55"/>
      <c r="C12" s="60" t="str">
        <f>Portfolio!A2</f>
        <v>GAIL</v>
      </c>
      <c r="D12" s="56">
        <f>Portfolio!E2</f>
        <v>9330.44</v>
      </c>
      <c r="E12" s="56">
        <f>Portfolio!F2</f>
        <v>6447.93</v>
      </c>
      <c r="F12" s="66">
        <f>(E12/D12)-1</f>
        <v>-0.30893612734233322</v>
      </c>
      <c r="G12" s="56"/>
      <c r="H12" s="56"/>
      <c r="I12" s="56"/>
      <c r="J12" s="56"/>
      <c r="K12" s="56"/>
      <c r="L12" s="56"/>
      <c r="M12" s="56"/>
      <c r="N12" s="56"/>
      <c r="O12" s="56"/>
      <c r="P12" s="57"/>
    </row>
    <row r="13" spans="2:16" x14ac:dyDescent="0.25">
      <c r="B13" s="55"/>
      <c r="C13" s="60" t="str">
        <f>Portfolio!A3</f>
        <v>RELIANCE</v>
      </c>
      <c r="D13" s="56">
        <f>Portfolio!E3</f>
        <v>1165</v>
      </c>
      <c r="E13" s="56">
        <f>Portfolio!F3</f>
        <v>1220</v>
      </c>
      <c r="F13" s="66">
        <f t="shared" ref="F13:F15" si="0">(E13/D13)-1</f>
        <v>4.7210300429184615E-2</v>
      </c>
      <c r="G13" s="56"/>
      <c r="H13" s="56"/>
      <c r="I13" s="56"/>
      <c r="J13" s="56"/>
      <c r="K13" s="56"/>
      <c r="L13" s="56"/>
      <c r="M13" s="56"/>
      <c r="N13" s="56"/>
      <c r="O13" s="56"/>
      <c r="P13" s="57"/>
    </row>
    <row r="14" spans="2:16" x14ac:dyDescent="0.25">
      <c r="B14" s="55"/>
      <c r="C14" s="60" t="str">
        <f>Portfolio!A4</f>
        <v>ONGC</v>
      </c>
      <c r="D14" s="56">
        <f>Portfolio!E4</f>
        <v>438</v>
      </c>
      <c r="E14" s="56">
        <f>Portfolio!F4</f>
        <v>470</v>
      </c>
      <c r="F14" s="66">
        <f t="shared" si="0"/>
        <v>7.3059360730593603E-2</v>
      </c>
      <c r="G14" s="56"/>
      <c r="H14" s="56"/>
      <c r="I14" s="56"/>
      <c r="J14" s="56"/>
      <c r="K14" s="56"/>
      <c r="L14" s="56"/>
      <c r="M14" s="56"/>
      <c r="N14" s="56"/>
      <c r="O14" s="56"/>
      <c r="P14" s="57"/>
    </row>
    <row r="15" spans="2:16" x14ac:dyDescent="0.25">
      <c r="B15" s="55"/>
      <c r="C15" s="62" t="str">
        <f>Portfolio!A5</f>
        <v>IOC</v>
      </c>
      <c r="D15" s="67">
        <f>Portfolio!E5</f>
        <v>387.96</v>
      </c>
      <c r="E15" s="67">
        <f>Portfolio!F5</f>
        <v>405</v>
      </c>
      <c r="F15" s="68">
        <f t="shared" si="0"/>
        <v>4.3922053819981599E-2</v>
      </c>
      <c r="G15" s="56"/>
      <c r="H15" s="56"/>
      <c r="I15" s="56"/>
      <c r="J15" s="56"/>
      <c r="K15" s="56"/>
      <c r="L15" s="56"/>
      <c r="M15" s="56"/>
      <c r="N15" s="56"/>
      <c r="O15" s="56"/>
      <c r="P15" s="57"/>
    </row>
    <row r="16" spans="2:16" x14ac:dyDescent="0.25">
      <c r="B16" s="55"/>
      <c r="C16" s="56"/>
      <c r="D16" s="56"/>
      <c r="E16" s="56"/>
      <c r="F16" s="56"/>
      <c r="G16" s="56"/>
      <c r="H16" s="56"/>
      <c r="I16" s="56"/>
      <c r="J16" s="56"/>
      <c r="K16" s="56"/>
      <c r="L16" s="56"/>
      <c r="M16" s="56"/>
      <c r="N16" s="56"/>
      <c r="O16" s="56"/>
      <c r="P16" s="57"/>
    </row>
    <row r="17" spans="2:16" x14ac:dyDescent="0.25">
      <c r="B17" s="55"/>
      <c r="C17" s="56"/>
      <c r="D17" s="56"/>
      <c r="E17" s="56"/>
      <c r="F17" s="56"/>
      <c r="G17" s="56"/>
      <c r="H17" s="56"/>
      <c r="I17" s="56"/>
      <c r="J17" s="56"/>
      <c r="K17" s="56"/>
      <c r="L17" s="56"/>
      <c r="M17" s="56"/>
      <c r="N17" s="56"/>
      <c r="O17" s="56"/>
      <c r="P17" s="57"/>
    </row>
    <row r="18" spans="2:16" x14ac:dyDescent="0.25">
      <c r="B18" s="55"/>
      <c r="C18" s="58" t="s">
        <v>35</v>
      </c>
      <c r="D18" s="69">
        <f>'Portfolio Risk'!C8</f>
        <v>8.4805660188456769E-2</v>
      </c>
      <c r="E18" s="56"/>
      <c r="F18" s="56"/>
      <c r="G18" s="56"/>
      <c r="H18" s="56"/>
      <c r="I18" s="56"/>
      <c r="J18" s="56"/>
      <c r="K18" s="56"/>
      <c r="L18" s="56"/>
      <c r="M18" s="56"/>
      <c r="N18" s="56"/>
      <c r="O18" s="56"/>
      <c r="P18" s="57"/>
    </row>
    <row r="19" spans="2:16" x14ac:dyDescent="0.25">
      <c r="B19" s="55"/>
      <c r="C19" s="62" t="s">
        <v>34</v>
      </c>
      <c r="D19" s="70">
        <f>'Portfolio Risk'!C7</f>
        <v>9.9000000000000019E-2</v>
      </c>
      <c r="E19" s="56"/>
      <c r="F19" s="56"/>
      <c r="G19" s="56"/>
      <c r="H19" s="56"/>
      <c r="I19" s="56"/>
      <c r="J19" s="56"/>
      <c r="K19" s="56"/>
      <c r="L19" s="56"/>
      <c r="M19" s="56"/>
      <c r="N19" s="56"/>
      <c r="O19" s="56"/>
      <c r="P19" s="57"/>
    </row>
    <row r="20" spans="2:16" x14ac:dyDescent="0.25">
      <c r="B20" s="55"/>
      <c r="C20" s="56"/>
      <c r="D20" s="56"/>
      <c r="E20" s="56"/>
      <c r="F20" s="56"/>
      <c r="G20" s="56"/>
      <c r="H20" s="56"/>
      <c r="I20" s="56"/>
      <c r="J20" s="56"/>
      <c r="K20" s="56"/>
      <c r="L20" s="56"/>
      <c r="M20" s="56"/>
      <c r="N20" s="56"/>
      <c r="O20" s="56"/>
      <c r="P20" s="57"/>
    </row>
    <row r="21" spans="2:16" x14ac:dyDescent="0.25">
      <c r="B21" s="55"/>
      <c r="C21" s="56"/>
      <c r="D21" s="56"/>
      <c r="E21" s="56"/>
      <c r="F21" s="56"/>
      <c r="G21" s="56"/>
      <c r="H21" s="56"/>
      <c r="I21" s="56"/>
      <c r="J21" s="56"/>
      <c r="K21" s="56"/>
      <c r="L21" s="56"/>
      <c r="M21" s="56"/>
      <c r="N21" s="56"/>
      <c r="O21" s="56"/>
      <c r="P21" s="57"/>
    </row>
    <row r="22" spans="2:16" x14ac:dyDescent="0.25">
      <c r="B22" s="55"/>
      <c r="C22" s="71" t="s">
        <v>72</v>
      </c>
      <c r="D22" s="72" t="str">
        <f>INDEX(C12:C15,MATCH(MAX(F12:F15),F12:F15,0)) &amp; " (" &amp; TEXT(MAX(F12:F15),"0.0%") &amp; ")"</f>
        <v>ONGC (7.3%)</v>
      </c>
      <c r="E22" s="56"/>
      <c r="F22" s="56"/>
      <c r="G22" s="56"/>
      <c r="H22" s="56"/>
      <c r="I22" s="56"/>
      <c r="J22" s="56"/>
      <c r="K22" s="56"/>
      <c r="L22" s="56"/>
      <c r="M22" s="56"/>
      <c r="N22" s="56"/>
      <c r="O22" s="56"/>
      <c r="P22" s="57"/>
    </row>
    <row r="23" spans="2:16" x14ac:dyDescent="0.25">
      <c r="B23" s="55"/>
      <c r="C23" s="73" t="s">
        <v>73</v>
      </c>
      <c r="D23" s="74" t="str">
        <f>INDEX(C12:C15,MATCH(MIN(F12:F15),F12:F15,0))&amp; " (" &amp; TEXT(MIN(F12:F15),"0.0%") &amp; ")"</f>
        <v>GAIL (-30.9%)</v>
      </c>
      <c r="E23" s="56"/>
      <c r="F23" s="56"/>
      <c r="G23" s="56"/>
      <c r="H23" s="56"/>
      <c r="I23" s="56"/>
      <c r="J23" s="56"/>
      <c r="K23" s="56"/>
      <c r="L23" s="56"/>
      <c r="M23" s="56"/>
      <c r="N23" s="56"/>
      <c r="O23" s="56"/>
      <c r="P23" s="57"/>
    </row>
    <row r="24" spans="2:16" ht="13.8" thickBot="1" x14ac:dyDescent="0.3">
      <c r="B24" s="75"/>
      <c r="C24" s="76"/>
      <c r="D24" s="76"/>
      <c r="E24" s="76"/>
      <c r="F24" s="76"/>
      <c r="G24" s="76"/>
      <c r="H24" s="76"/>
      <c r="I24" s="76"/>
      <c r="J24" s="76"/>
      <c r="K24" s="76"/>
      <c r="L24" s="76"/>
      <c r="M24" s="76"/>
      <c r="N24" s="76"/>
      <c r="O24" s="76"/>
      <c r="P24" s="77"/>
    </row>
  </sheetData>
  <mergeCells count="1">
    <mergeCell ref="B3:P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Portfolio</vt:lpstr>
      <vt:lpstr>Diversification</vt:lpstr>
      <vt:lpstr>Goal Planner</vt:lpstr>
      <vt:lpstr>Portfolio Risk</vt:lpstr>
      <vt:lpstr>Correlation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Hegde</dc:creator>
  <cp:lastModifiedBy>Shashank Hegde</cp:lastModifiedBy>
  <dcterms:created xsi:type="dcterms:W3CDTF">2026-04-09T17:00:51Z</dcterms:created>
  <dcterms:modified xsi:type="dcterms:W3CDTF">2026-04-15T04:08:25Z</dcterms:modified>
</cp:coreProperties>
</file>