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D0C02EC7-D1BB-4EDA-AD31-F312DA13D1AD}" xr6:coauthVersionLast="47" xr6:coauthVersionMax="47" xr10:uidLastSave="{00000000-0000-0000-0000-000000000000}"/>
  <bookViews>
    <workbookView xWindow="-108" yWindow="-108" windowWidth="23256" windowHeight="12456" xr2:uid="{AE9581EE-9B2B-4264-BC7A-9D84797F0894}"/>
  </bookViews>
  <sheets>
    <sheet name="DCF_Model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1" l="1"/>
  <c r="D13" i="1"/>
  <c r="D14" i="1"/>
  <c r="D15" i="1"/>
  <c r="D11" i="1"/>
  <c r="B11" i="1"/>
  <c r="C11" i="1" s="1"/>
  <c r="E11" i="1" s="1"/>
  <c r="B12" i="1" l="1"/>
  <c r="B13" i="1" l="1"/>
  <c r="C12" i="1"/>
  <c r="E12" i="1" s="1"/>
  <c r="B14" i="1" l="1"/>
  <c r="C13" i="1"/>
  <c r="E13" i="1" s="1"/>
  <c r="C14" i="1" l="1"/>
  <c r="E14" i="1" s="1"/>
  <c r="B15" i="1"/>
  <c r="C15" i="1" s="1"/>
  <c r="C17" i="1" l="1"/>
  <c r="E17" i="1" s="1"/>
  <c r="E19" i="1" s="1"/>
  <c r="E21" i="1" s="1"/>
  <c r="E15" i="1"/>
</calcChain>
</file>

<file path=xl/sharedStrings.xml><?xml version="1.0" encoding="utf-8"?>
<sst xmlns="http://schemas.openxmlformats.org/spreadsheetml/2006/main" count="16" uniqueCount="16">
  <si>
    <t>Revenue (Current)</t>
  </si>
  <si>
    <t>Growth Rate</t>
  </si>
  <si>
    <t>Profit Margin</t>
  </si>
  <si>
    <t>Discount Rate</t>
  </si>
  <si>
    <t>Terminal Growth</t>
  </si>
  <si>
    <t>Years</t>
  </si>
  <si>
    <t>Market Price</t>
  </si>
  <si>
    <t>Year</t>
  </si>
  <si>
    <t>Revenue</t>
  </si>
  <si>
    <t>Profit</t>
  </si>
  <si>
    <t>Discount Factor</t>
  </si>
  <si>
    <t>Present Value</t>
  </si>
  <si>
    <t>Terminal Profit</t>
  </si>
  <si>
    <t>Terminal Value PV</t>
  </si>
  <si>
    <t>Intensic Value</t>
  </si>
  <si>
    <t>Decision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</si>
</sst>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70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mbria"/>
      <family val="1"/>
    </font>
    <font>
      <sz val="10"/>
      <color theme="1"/>
      <name val="Cambria"/>
      <family val="1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2" fillId="0" borderId="1" xfId="0" applyFont="1" applyBorder="1"/>
    <xf numFmtId="0" fontId="3" fillId="0" borderId="2" xfId="0" applyFont="1" applyBorder="1"/>
    <xf numFmtId="0" fontId="3" fillId="0" borderId="0" xfId="0" applyFont="1"/>
    <xf numFmtId="0" fontId="2" fillId="0" borderId="3" xfId="0" applyFont="1" applyBorder="1"/>
    <xf numFmtId="170" fontId="3" fillId="0" borderId="4" xfId="0" applyNumberFormat="1" applyFont="1" applyBorder="1"/>
    <xf numFmtId="1" fontId="3" fillId="0" borderId="4" xfId="0" applyNumberFormat="1" applyFont="1" applyBorder="1"/>
    <xf numFmtId="0" fontId="2" fillId="0" borderId="5" xfId="0" applyFont="1" applyBorder="1"/>
    <xf numFmtId="1" fontId="3" fillId="0" borderId="6" xfId="1" applyNumberFormat="1" applyFont="1" applyBorder="1"/>
    <xf numFmtId="0" fontId="2" fillId="0" borderId="7" xfId="0" applyFont="1" applyBorder="1"/>
    <xf numFmtId="0" fontId="2" fillId="0" borderId="2" xfId="0" applyFont="1" applyBorder="1"/>
    <xf numFmtId="0" fontId="3" fillId="0" borderId="3" xfId="0" applyFont="1" applyBorder="1"/>
    <xf numFmtId="170" fontId="3" fillId="0" borderId="0" xfId="0" applyNumberFormat="1" applyFont="1" applyBorder="1"/>
    <xf numFmtId="2" fontId="3" fillId="0" borderId="0" xfId="0" applyNumberFormat="1" applyFont="1" applyBorder="1"/>
    <xf numFmtId="0" fontId="3" fillId="0" borderId="4" xfId="0" applyFont="1" applyBorder="1"/>
    <xf numFmtId="0" fontId="3" fillId="0" borderId="5" xfId="0" applyFont="1" applyBorder="1"/>
    <xf numFmtId="170" fontId="3" fillId="0" borderId="8" xfId="0" applyNumberFormat="1" applyFont="1" applyBorder="1"/>
    <xf numFmtId="2" fontId="3" fillId="0" borderId="8" xfId="0" applyNumberFormat="1" applyFont="1" applyBorder="1"/>
    <xf numFmtId="0" fontId="3" fillId="0" borderId="6" xfId="0" applyFont="1" applyBorder="1"/>
    <xf numFmtId="0" fontId="2" fillId="0" borderId="9" xfId="0" applyFont="1" applyBorder="1"/>
    <xf numFmtId="170" fontId="3" fillId="0" borderId="9" xfId="0" applyNumberFormat="1" applyFont="1" applyBorder="1"/>
    <xf numFmtId="170" fontId="3" fillId="0" borderId="9" xfId="2" applyNumberFormat="1" applyFont="1" applyBorder="1"/>
    <xf numFmtId="0" fontId="2" fillId="0" borderId="10" xfId="0" applyFont="1" applyBorder="1"/>
    <xf numFmtId="170" fontId="3" fillId="0" borderId="11" xfId="0" applyNumberFormat="1" applyFont="1" applyBorder="1"/>
    <xf numFmtId="0" fontId="2" fillId="0" borderId="11" xfId="0" applyFont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1" defaultTableStyle="TableStyleMedium2" defaultPivotStyle="PivotStyleLight16">
    <tableStyle name="Invisible" pivot="0" table="0" count="0" xr9:uid="{F0E6C711-D3A7-4D73-881E-4271F5140CB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1B236-EFBF-4B04-9D65-7DCA98CE795A}">
  <dimension ref="A1:E21"/>
  <sheetViews>
    <sheetView showGridLines="0" tabSelected="1" workbookViewId="0">
      <selection activeCell="B5" sqref="B5"/>
    </sheetView>
  </sheetViews>
  <sheetFormatPr defaultRowHeight="13.2" x14ac:dyDescent="0.25"/>
  <cols>
    <col min="1" max="1" width="17.44140625" style="3" bestFit="1" customWidth="1"/>
    <col min="2" max="2" width="14.5546875" style="3" bestFit="1" customWidth="1"/>
    <col min="3" max="3" width="6" style="3" bestFit="1" customWidth="1"/>
    <col min="4" max="4" width="17.33203125" style="3" bestFit="1" customWidth="1"/>
    <col min="5" max="5" width="13.109375" style="3" bestFit="1" customWidth="1"/>
    <col min="6" max="16384" width="8.88671875" style="3"/>
  </cols>
  <sheetData>
    <row r="1" spans="1:5" x14ac:dyDescent="0.25">
      <c r="A1" s="1" t="s">
        <v>0</v>
      </c>
      <c r="B1" s="2">
        <v>10000</v>
      </c>
    </row>
    <row r="2" spans="1:5" x14ac:dyDescent="0.25">
      <c r="A2" s="4" t="s">
        <v>1</v>
      </c>
      <c r="B2" s="5">
        <v>0.08</v>
      </c>
    </row>
    <row r="3" spans="1:5" x14ac:dyDescent="0.25">
      <c r="A3" s="4" t="s">
        <v>2</v>
      </c>
      <c r="B3" s="5">
        <v>0.2</v>
      </c>
    </row>
    <row r="4" spans="1:5" x14ac:dyDescent="0.25">
      <c r="A4" s="4" t="s">
        <v>3</v>
      </c>
      <c r="B4" s="5">
        <v>0.14000000000000001</v>
      </c>
    </row>
    <row r="5" spans="1:5" x14ac:dyDescent="0.25">
      <c r="A5" s="4" t="s">
        <v>4</v>
      </c>
      <c r="B5" s="5">
        <v>0.04</v>
      </c>
    </row>
    <row r="6" spans="1:5" x14ac:dyDescent="0.25">
      <c r="A6" s="4" t="s">
        <v>5</v>
      </c>
      <c r="B6" s="6">
        <v>5</v>
      </c>
    </row>
    <row r="7" spans="1:5" ht="13.8" thickBot="1" x14ac:dyDescent="0.3">
      <c r="A7" s="7" t="s">
        <v>6</v>
      </c>
      <c r="B7" s="8">
        <v>8000</v>
      </c>
    </row>
    <row r="9" spans="1:5" ht="13.8" thickBot="1" x14ac:dyDescent="0.3"/>
    <row r="10" spans="1:5" x14ac:dyDescent="0.25">
      <c r="A10" s="1" t="s">
        <v>7</v>
      </c>
      <c r="B10" s="9" t="s">
        <v>8</v>
      </c>
      <c r="C10" s="9" t="s">
        <v>9</v>
      </c>
      <c r="D10" s="9" t="s">
        <v>10</v>
      </c>
      <c r="E10" s="10" t="s">
        <v>11</v>
      </c>
    </row>
    <row r="11" spans="1:5" x14ac:dyDescent="0.25">
      <c r="A11" s="11">
        <v>1</v>
      </c>
      <c r="B11" s="12">
        <f>$B$2*(1+$B$3)</f>
        <v>9.6000000000000002E-2</v>
      </c>
      <c r="C11" s="12">
        <f>B11*$B$4</f>
        <v>1.3440000000000002E-2</v>
      </c>
      <c r="D11" s="13">
        <f>1/(1+$B$5)^A11</f>
        <v>0.96153846153846145</v>
      </c>
      <c r="E11" s="14">
        <f>C11*D11</f>
        <v>1.2923076923076924E-2</v>
      </c>
    </row>
    <row r="12" spans="1:5" x14ac:dyDescent="0.25">
      <c r="A12" s="11">
        <v>2</v>
      </c>
      <c r="B12" s="12">
        <f>B11*(1+$B$3)</f>
        <v>0.1152</v>
      </c>
      <c r="C12" s="12">
        <f t="shared" ref="C12:C15" si="0">B12*$B$4</f>
        <v>1.6128E-2</v>
      </c>
      <c r="D12" s="13">
        <f t="shared" ref="D12:D15" si="1">1/(1+$B$5)^A12</f>
        <v>0.92455621301775137</v>
      </c>
      <c r="E12" s="14">
        <f t="shared" ref="E12:E15" si="2">C12*D12</f>
        <v>1.4911242603550295E-2</v>
      </c>
    </row>
    <row r="13" spans="1:5" x14ac:dyDescent="0.25">
      <c r="A13" s="11">
        <v>3</v>
      </c>
      <c r="B13" s="12">
        <f t="shared" ref="B13:B15" si="3">B12*(1+$B$3)</f>
        <v>0.13824</v>
      </c>
      <c r="C13" s="12">
        <f t="shared" si="0"/>
        <v>1.9353600000000002E-2</v>
      </c>
      <c r="D13" s="13">
        <f t="shared" si="1"/>
        <v>0.88899635867091487</v>
      </c>
      <c r="E13" s="14">
        <f t="shared" si="2"/>
        <v>1.7205279927173418E-2</v>
      </c>
    </row>
    <row r="14" spans="1:5" x14ac:dyDescent="0.25">
      <c r="A14" s="11">
        <v>4</v>
      </c>
      <c r="B14" s="12">
        <f t="shared" si="3"/>
        <v>0.16588800000000001</v>
      </c>
      <c r="C14" s="12">
        <f t="shared" si="0"/>
        <v>2.3224320000000003E-2</v>
      </c>
      <c r="D14" s="13">
        <f t="shared" si="1"/>
        <v>0.85480419102972571</v>
      </c>
      <c r="E14" s="14">
        <f t="shared" si="2"/>
        <v>1.9852246069815484E-2</v>
      </c>
    </row>
    <row r="15" spans="1:5" ht="13.8" thickBot="1" x14ac:dyDescent="0.3">
      <c r="A15" s="15">
        <v>5</v>
      </c>
      <c r="B15" s="16">
        <f t="shared" si="3"/>
        <v>0.19906560000000001</v>
      </c>
      <c r="C15" s="16">
        <f t="shared" si="0"/>
        <v>2.7869184000000005E-2</v>
      </c>
      <c r="D15" s="17">
        <f t="shared" si="1"/>
        <v>0.82192710675935154</v>
      </c>
      <c r="E15" s="18">
        <f t="shared" si="2"/>
        <v>2.2906437772864018E-2</v>
      </c>
    </row>
    <row r="17" spans="2:5" x14ac:dyDescent="0.25">
      <c r="B17" s="19" t="s">
        <v>12</v>
      </c>
      <c r="C17" s="20">
        <f>C15*(1+B6)</f>
        <v>0.16721510400000003</v>
      </c>
      <c r="D17" s="19" t="s">
        <v>13</v>
      </c>
      <c r="E17" s="21">
        <f>(C17/($B$5-$B$6))*(1/(1+B5)^5)</f>
        <v>-2.770940053169034E-2</v>
      </c>
    </row>
    <row r="18" spans="2:5" ht="13.8" thickBot="1" x14ac:dyDescent="0.3"/>
    <row r="19" spans="2:5" ht="13.8" thickBot="1" x14ac:dyDescent="0.3">
      <c r="D19" s="22" t="s">
        <v>14</v>
      </c>
      <c r="E19" s="23">
        <f>SUM(E11:E15)+E17</f>
        <v>6.0088882764789811E-2</v>
      </c>
    </row>
    <row r="20" spans="2:5" ht="13.8" thickBot="1" x14ac:dyDescent="0.3"/>
    <row r="21" spans="2:5" ht="13.8" thickBot="1" x14ac:dyDescent="0.3">
      <c r="D21" s="22" t="s">
        <v>15</v>
      </c>
      <c r="E21" s="24" t="str">
        <f>IF(E19&gt;B7,"Undervalued","Overvalued")</f>
        <v>Overvalued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DCF_Model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 Hegde</dc:creator>
  <cp:lastModifiedBy>Shashank Hegde</cp:lastModifiedBy>
  <dcterms:created xsi:type="dcterms:W3CDTF">2026-04-18T10:37:23Z</dcterms:created>
  <dcterms:modified xsi:type="dcterms:W3CDTF">2026-04-18T11:14:58Z</dcterms:modified>
</cp:coreProperties>
</file>