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9ABC5DA9-FDF5-46CC-92C5-2C19345FCE90}" xr6:coauthVersionLast="47" xr6:coauthVersionMax="47" xr10:uidLastSave="{00000000-0000-0000-0000-000000000000}"/>
  <bookViews>
    <workbookView xWindow="-108" yWindow="-108" windowWidth="23256" windowHeight="12456" activeTab="1" xr2:uid="{AE9581EE-9B2B-4264-BC7A-9D84797F0894}"/>
  </bookViews>
  <sheets>
    <sheet name="DCF_Model" sheetId="1" r:id="rId1"/>
    <sheet name="Scenario Analysi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1" l="1"/>
  <c r="K1" i="1"/>
  <c r="B3" i="2"/>
  <c r="B4" i="1" s="1"/>
  <c r="B2" i="2"/>
  <c r="B2" i="1" s="1"/>
  <c r="B11" i="1" s="1"/>
  <c r="D12" i="1"/>
  <c r="D13" i="1"/>
  <c r="D14" i="1"/>
  <c r="D15" i="1"/>
  <c r="D11" i="1"/>
  <c r="C11" i="1" l="1"/>
  <c r="E11" i="1" s="1"/>
  <c r="B12" i="1"/>
  <c r="B13" i="1" l="1"/>
  <c r="C12" i="1"/>
  <c r="E12" i="1" s="1"/>
  <c r="B14" i="1" l="1"/>
  <c r="C13" i="1"/>
  <c r="E13" i="1" s="1"/>
  <c r="C14" i="1" l="1"/>
  <c r="E14" i="1" s="1"/>
  <c r="B15" i="1"/>
  <c r="C15" i="1" s="1"/>
  <c r="C17" i="1" l="1"/>
  <c r="E17" i="1" s="1"/>
  <c r="E15" i="1"/>
  <c r="E19" i="1" l="1"/>
  <c r="E21" i="1" l="1"/>
  <c r="K3" i="1"/>
  <c r="K5" i="1"/>
</calcChain>
</file>

<file path=xl/sharedStrings.xml><?xml version="1.0" encoding="utf-8"?>
<sst xmlns="http://schemas.openxmlformats.org/spreadsheetml/2006/main" count="36" uniqueCount="31">
  <si>
    <t>Revenue (Current)</t>
  </si>
  <si>
    <t>Growth Rate</t>
  </si>
  <si>
    <t>Profit Margin</t>
  </si>
  <si>
    <t>Discount Rate</t>
  </si>
  <si>
    <t>Terminal Growth</t>
  </si>
  <si>
    <t>Years</t>
  </si>
  <si>
    <t>Market Price</t>
  </si>
  <si>
    <t>Year</t>
  </si>
  <si>
    <t>Revenue</t>
  </si>
  <si>
    <t>Profit</t>
  </si>
  <si>
    <t>Discount Factor</t>
  </si>
  <si>
    <t>Present Value</t>
  </si>
  <si>
    <t>Terminal Profit</t>
  </si>
  <si>
    <t>Terminal Value PV</t>
  </si>
  <si>
    <t>Intensic Value</t>
  </si>
  <si>
    <t>Decision</t>
  </si>
  <si>
    <t>Scenario</t>
  </si>
  <si>
    <t>Growth</t>
  </si>
  <si>
    <t>Discount</t>
  </si>
  <si>
    <t>Bear</t>
  </si>
  <si>
    <t>Base</t>
  </si>
  <si>
    <t>Bull</t>
  </si>
  <si>
    <t>Selected Scenario</t>
  </si>
  <si>
    <t>Selected Growth</t>
  </si>
  <si>
    <t>Selected Discount</t>
  </si>
  <si>
    <t>Current Scenario</t>
  </si>
  <si>
    <t>&lt;&lt;Select the scenario from data validation&gt;&gt;</t>
  </si>
  <si>
    <t>Scenario Output</t>
  </si>
  <si>
    <t>Intrensic Value</t>
  </si>
  <si>
    <t>Upside/Downside</t>
  </si>
  <si>
    <t>Final Decision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</si>
</sst>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mbria"/>
      <family val="1"/>
    </font>
    <font>
      <sz val="10"/>
      <color theme="1"/>
      <name val="Cambria"/>
      <family val="1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sz val="11"/>
      <color rgb="FFFF0000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2" fillId="0" borderId="1" xfId="0" applyFont="1" applyBorder="1"/>
    <xf numFmtId="0" fontId="3" fillId="0" borderId="2" xfId="0" applyFont="1" applyBorder="1"/>
    <xf numFmtId="0" fontId="3" fillId="0" borderId="0" xfId="0" applyFont="1"/>
    <xf numFmtId="0" fontId="2" fillId="0" borderId="3" xfId="0" applyFont="1" applyBorder="1"/>
    <xf numFmtId="164" fontId="3" fillId="0" borderId="4" xfId="0" applyNumberFormat="1" applyFont="1" applyBorder="1"/>
    <xf numFmtId="1" fontId="3" fillId="0" borderId="4" xfId="0" applyNumberFormat="1" applyFont="1" applyBorder="1"/>
    <xf numFmtId="0" fontId="2" fillId="0" borderId="5" xfId="0" applyFont="1" applyBorder="1"/>
    <xf numFmtId="1" fontId="3" fillId="0" borderId="6" xfId="1" applyNumberFormat="1" applyFont="1" applyBorder="1"/>
    <xf numFmtId="0" fontId="2" fillId="0" borderId="7" xfId="0" applyFont="1" applyBorder="1"/>
    <xf numFmtId="0" fontId="2" fillId="0" borderId="2" xfId="0" applyFont="1" applyBorder="1"/>
    <xf numFmtId="0" fontId="3" fillId="0" borderId="3" xfId="0" applyFont="1" applyBorder="1"/>
    <xf numFmtId="0" fontId="3" fillId="0" borderId="5" xfId="0" applyFont="1" applyBorder="1"/>
    <xf numFmtId="2" fontId="3" fillId="0" borderId="8" xfId="0" applyNumberFormat="1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4" fillId="0" borderId="0" xfId="0" applyFont="1"/>
    <xf numFmtId="0" fontId="4" fillId="0" borderId="3" xfId="0" applyFont="1" applyBorder="1"/>
    <xf numFmtId="9" fontId="4" fillId="0" borderId="4" xfId="2" applyFont="1" applyBorder="1"/>
    <xf numFmtId="0" fontId="4" fillId="0" borderId="5" xfId="0" applyFont="1" applyBorder="1"/>
    <xf numFmtId="9" fontId="4" fillId="0" borderId="6" xfId="2" applyFont="1" applyBorder="1"/>
    <xf numFmtId="0" fontId="5" fillId="0" borderId="1" xfId="0" applyFont="1" applyBorder="1"/>
    <xf numFmtId="0" fontId="5" fillId="0" borderId="3" xfId="0" applyFont="1" applyBorder="1"/>
    <xf numFmtId="0" fontId="5" fillId="0" borderId="5" xfId="0" applyFont="1" applyBorder="1"/>
    <xf numFmtId="0" fontId="5" fillId="0" borderId="7" xfId="0" applyFont="1" applyBorder="1"/>
    <xf numFmtId="0" fontId="5" fillId="0" borderId="2" xfId="0" applyFont="1" applyBorder="1"/>
    <xf numFmtId="9" fontId="4" fillId="0" borderId="0" xfId="0" applyNumberFormat="1" applyFont="1" applyBorder="1"/>
    <xf numFmtId="9" fontId="4" fillId="0" borderId="4" xfId="0" applyNumberFormat="1" applyFont="1" applyBorder="1"/>
    <xf numFmtId="9" fontId="4" fillId="0" borderId="8" xfId="0" applyNumberFormat="1" applyFont="1" applyBorder="1"/>
    <xf numFmtId="9" fontId="4" fillId="0" borderId="6" xfId="0" applyNumberFormat="1" applyFont="1" applyBorder="1"/>
    <xf numFmtId="0" fontId="4" fillId="2" borderId="2" xfId="0" applyFont="1" applyFill="1" applyBorder="1"/>
    <xf numFmtId="0" fontId="6" fillId="0" borderId="0" xfId="0" applyFont="1"/>
    <xf numFmtId="0" fontId="2" fillId="3" borderId="10" xfId="0" applyFont="1" applyFill="1" applyBorder="1"/>
    <xf numFmtId="0" fontId="2" fillId="3" borderId="11" xfId="0" applyFont="1" applyFill="1" applyBorder="1"/>
    <xf numFmtId="1" fontId="3" fillId="0" borderId="0" xfId="0" applyNumberFormat="1" applyFont="1"/>
    <xf numFmtId="1" fontId="3" fillId="0" borderId="8" xfId="0" applyNumberFormat="1" applyFont="1" applyBorder="1"/>
    <xf numFmtId="1" fontId="3" fillId="0" borderId="6" xfId="0" applyNumberFormat="1" applyFont="1" applyBorder="1"/>
    <xf numFmtId="1" fontId="3" fillId="0" borderId="11" xfId="0" applyNumberFormat="1" applyFont="1" applyBorder="1"/>
    <xf numFmtId="1" fontId="3" fillId="0" borderId="0" xfId="0" applyNumberFormat="1" applyFont="1" applyBorder="1"/>
    <xf numFmtId="2" fontId="3" fillId="0" borderId="0" xfId="0" applyNumberFormat="1" applyFont="1" applyBorder="1"/>
    <xf numFmtId="1" fontId="3" fillId="0" borderId="9" xfId="0" applyNumberFormat="1" applyFont="1" applyBorder="1"/>
    <xf numFmtId="0" fontId="2" fillId="3" borderId="12" xfId="0" applyFont="1" applyFill="1" applyBorder="1"/>
    <xf numFmtId="9" fontId="2" fillId="3" borderId="11" xfId="2" applyFon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1" defaultTableStyle="TableStyleMedium2" defaultPivotStyle="PivotStyleLight16">
    <tableStyle name="Invisible" pivot="0" table="0" count="0" xr9:uid="{F0E6C711-D3A7-4D73-881E-4271F5140CB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1B236-EFBF-4B04-9D65-7DCA98CE795A}">
  <dimension ref="A1:AA21"/>
  <sheetViews>
    <sheetView showGridLines="0" workbookViewId="0">
      <selection activeCell="G6" sqref="G6"/>
    </sheetView>
  </sheetViews>
  <sheetFormatPr defaultRowHeight="13.2" x14ac:dyDescent="0.25"/>
  <cols>
    <col min="1" max="1" width="17.44140625" style="3" bestFit="1" customWidth="1"/>
    <col min="2" max="2" width="14.5546875" style="3" bestFit="1" customWidth="1"/>
    <col min="3" max="3" width="11" style="3" bestFit="1" customWidth="1"/>
    <col min="4" max="4" width="17.33203125" style="3" bestFit="1" customWidth="1"/>
    <col min="5" max="5" width="13.109375" style="3" bestFit="1" customWidth="1"/>
    <col min="6" max="9" width="8.88671875" style="3"/>
    <col min="10" max="10" width="16.6640625" style="3" bestFit="1" customWidth="1"/>
    <col min="11" max="16384" width="8.88671875" style="3"/>
  </cols>
  <sheetData>
    <row r="1" spans="1:27" ht="13.8" thickBot="1" x14ac:dyDescent="0.3">
      <c r="A1" s="1" t="s">
        <v>0</v>
      </c>
      <c r="B1" s="2">
        <v>10000</v>
      </c>
      <c r="E1" s="33" t="str">
        <f>"Valuation Range: ₹"&amp;TEXT(MIN(AA3:AA5),"#,##0")&amp;" - ₹"&amp;TEXT(MAX(AA3:AA5),"#,##0")</f>
        <v>Valuation Range: ₹5,007 - ₹6,760</v>
      </c>
      <c r="F1" s="42"/>
      <c r="G1" s="34"/>
      <c r="J1" s="33" t="s">
        <v>25</v>
      </c>
      <c r="K1" s="34" t="str">
        <f>'Scenario Analysis'!B1</f>
        <v>Bull</v>
      </c>
      <c r="Z1" s="3" t="s">
        <v>27</v>
      </c>
    </row>
    <row r="2" spans="1:27" ht="13.8" thickBot="1" x14ac:dyDescent="0.3">
      <c r="A2" s="4" t="s">
        <v>1</v>
      </c>
      <c r="B2" s="5">
        <f>'Scenario Analysis'!B2</f>
        <v>0.12</v>
      </c>
      <c r="Z2" s="3" t="s">
        <v>16</v>
      </c>
      <c r="AA2" s="3" t="s">
        <v>28</v>
      </c>
    </row>
    <row r="3" spans="1:27" ht="13.8" thickBot="1" x14ac:dyDescent="0.3">
      <c r="A3" s="4" t="s">
        <v>2</v>
      </c>
      <c r="B3" s="5">
        <v>0.2</v>
      </c>
      <c r="J3" s="33" t="s">
        <v>29</v>
      </c>
      <c r="K3" s="43">
        <f>(E19-B7)/B7</f>
        <v>-0.37407413786677285</v>
      </c>
      <c r="Z3" s="3" t="s">
        <v>19</v>
      </c>
      <c r="AA3" s="35">
        <v>6760</v>
      </c>
    </row>
    <row r="4" spans="1:27" ht="13.8" thickBot="1" x14ac:dyDescent="0.3">
      <c r="A4" s="4" t="s">
        <v>3</v>
      </c>
      <c r="B4" s="5">
        <f>'Scenario Analysis'!B3</f>
        <v>0.1</v>
      </c>
      <c r="Z4" s="3" t="s">
        <v>20</v>
      </c>
      <c r="AA4" s="35">
        <v>5902</v>
      </c>
    </row>
    <row r="5" spans="1:27" ht="13.8" thickBot="1" x14ac:dyDescent="0.3">
      <c r="A5" s="4" t="s">
        <v>4</v>
      </c>
      <c r="B5" s="5">
        <v>0.04</v>
      </c>
      <c r="J5" s="33" t="s">
        <v>30</v>
      </c>
      <c r="K5" s="34" t="str">
        <f>IF(E19&gt;B7*1.2,"Strong Buy",IF(E19&gt;B7,"Buy",IF(E19&gt;B7*0.9,"Hold","Avoid")))</f>
        <v>Avoid</v>
      </c>
      <c r="Z5" s="3" t="s">
        <v>21</v>
      </c>
      <c r="AA5" s="35">
        <v>5007</v>
      </c>
    </row>
    <row r="6" spans="1:27" x14ac:dyDescent="0.25">
      <c r="A6" s="4" t="s">
        <v>5</v>
      </c>
      <c r="B6" s="6">
        <v>5</v>
      </c>
    </row>
    <row r="7" spans="1:27" ht="13.8" thickBot="1" x14ac:dyDescent="0.3">
      <c r="A7" s="7" t="s">
        <v>6</v>
      </c>
      <c r="B7" s="8">
        <v>8000</v>
      </c>
    </row>
    <row r="9" spans="1:27" ht="13.8" thickBot="1" x14ac:dyDescent="0.3"/>
    <row r="10" spans="1:27" x14ac:dyDescent="0.25">
      <c r="A10" s="1" t="s">
        <v>7</v>
      </c>
      <c r="B10" s="9" t="s">
        <v>8</v>
      </c>
      <c r="C10" s="9" t="s">
        <v>9</v>
      </c>
      <c r="D10" s="9" t="s">
        <v>10</v>
      </c>
      <c r="E10" s="10" t="s">
        <v>11</v>
      </c>
    </row>
    <row r="11" spans="1:27" x14ac:dyDescent="0.25">
      <c r="A11" s="11">
        <v>1</v>
      </c>
      <c r="B11" s="39">
        <f>B1*(1+B2)</f>
        <v>11200.000000000002</v>
      </c>
      <c r="C11" s="39">
        <f>B11*$B$4</f>
        <v>1120.0000000000002</v>
      </c>
      <c r="D11" s="40">
        <f>1/(1+$B$5)^A11</f>
        <v>0.96153846153846145</v>
      </c>
      <c r="E11" s="6">
        <f>C11*D11</f>
        <v>1076.9230769230771</v>
      </c>
    </row>
    <row r="12" spans="1:27" x14ac:dyDescent="0.25">
      <c r="A12" s="11">
        <v>2</v>
      </c>
      <c r="B12" s="39">
        <f>B11*(1+$B$3)</f>
        <v>13440.000000000002</v>
      </c>
      <c r="C12" s="39">
        <f t="shared" ref="C12:C15" si="0">B12*$B$4</f>
        <v>1344.0000000000002</v>
      </c>
      <c r="D12" s="40">
        <f t="shared" ref="D12:D15" si="1">1/(1+$B$5)^A12</f>
        <v>0.92455621301775137</v>
      </c>
      <c r="E12" s="6">
        <f t="shared" ref="E12:E15" si="2">C12*D12</f>
        <v>1242.603550295858</v>
      </c>
    </row>
    <row r="13" spans="1:27" x14ac:dyDescent="0.25">
      <c r="A13" s="11">
        <v>3</v>
      </c>
      <c r="B13" s="39">
        <f t="shared" ref="B13:B15" si="3">B12*(1+$B$3)</f>
        <v>16128.000000000002</v>
      </c>
      <c r="C13" s="39">
        <f t="shared" si="0"/>
        <v>1612.8000000000002</v>
      </c>
      <c r="D13" s="40">
        <f t="shared" si="1"/>
        <v>0.88899635867091487</v>
      </c>
      <c r="E13" s="6">
        <f t="shared" si="2"/>
        <v>1433.7733272644516</v>
      </c>
    </row>
    <row r="14" spans="1:27" x14ac:dyDescent="0.25">
      <c r="A14" s="11">
        <v>4</v>
      </c>
      <c r="B14" s="39">
        <f t="shared" si="3"/>
        <v>19353.600000000002</v>
      </c>
      <c r="C14" s="39">
        <f t="shared" si="0"/>
        <v>1935.3600000000004</v>
      </c>
      <c r="D14" s="40">
        <f t="shared" si="1"/>
        <v>0.85480419102972571</v>
      </c>
      <c r="E14" s="6">
        <f t="shared" si="2"/>
        <v>1654.3538391512902</v>
      </c>
    </row>
    <row r="15" spans="1:27" ht="13.8" thickBot="1" x14ac:dyDescent="0.3">
      <c r="A15" s="12">
        <v>5</v>
      </c>
      <c r="B15" s="36">
        <f t="shared" si="3"/>
        <v>23224.320000000003</v>
      </c>
      <c r="C15" s="36">
        <f t="shared" si="0"/>
        <v>2322.4320000000002</v>
      </c>
      <c r="D15" s="13">
        <f t="shared" si="1"/>
        <v>0.82192710675935154</v>
      </c>
      <c r="E15" s="37">
        <f t="shared" si="2"/>
        <v>1908.8698144053346</v>
      </c>
    </row>
    <row r="17" spans="2:5" x14ac:dyDescent="0.25">
      <c r="B17" s="14" t="s">
        <v>12</v>
      </c>
      <c r="C17" s="41">
        <f>C15*(1+B6)</f>
        <v>13934.592000000001</v>
      </c>
      <c r="D17" s="14" t="s">
        <v>13</v>
      </c>
      <c r="E17" s="41">
        <f>(C17/($B$5-$B$6))*(1/(1+B5)^5)</f>
        <v>-2309.116710974195</v>
      </c>
    </row>
    <row r="18" spans="2:5" ht="13.8" thickBot="1" x14ac:dyDescent="0.3"/>
    <row r="19" spans="2:5" ht="13.8" thickBot="1" x14ac:dyDescent="0.3">
      <c r="D19" s="15" t="s">
        <v>14</v>
      </c>
      <c r="E19" s="38">
        <f>SUM(E11:E15)+E17</f>
        <v>5007.4068970658172</v>
      </c>
    </row>
    <row r="20" spans="2:5" ht="13.8" thickBot="1" x14ac:dyDescent="0.3"/>
    <row r="21" spans="2:5" ht="13.8" thickBot="1" x14ac:dyDescent="0.3">
      <c r="D21" s="15" t="s">
        <v>15</v>
      </c>
      <c r="E21" s="16" t="str">
        <f>IF(E19&gt;B7,"Undervalued","Overvalued")</f>
        <v>Overvalued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DFD86-0326-430C-9200-16DB2CFEDFEE}">
  <dimension ref="A1:D8"/>
  <sheetViews>
    <sheetView showGridLines="0" tabSelected="1" workbookViewId="0">
      <selection activeCell="B1" sqref="B1"/>
    </sheetView>
  </sheetViews>
  <sheetFormatPr defaultRowHeight="13.8" x14ac:dyDescent="0.25"/>
  <cols>
    <col min="1" max="1" width="17.77734375" style="17" bestFit="1" customWidth="1"/>
    <col min="2" max="2" width="7.88671875" style="17" bestFit="1" customWidth="1"/>
    <col min="3" max="3" width="8.6640625" style="17" bestFit="1" customWidth="1"/>
    <col min="4" max="16384" width="8.88671875" style="17"/>
  </cols>
  <sheetData>
    <row r="1" spans="1:4" x14ac:dyDescent="0.25">
      <c r="A1" s="22" t="s">
        <v>22</v>
      </c>
      <c r="B1" s="31" t="s">
        <v>21</v>
      </c>
      <c r="D1" s="32" t="s">
        <v>26</v>
      </c>
    </row>
    <row r="2" spans="1:4" x14ac:dyDescent="0.25">
      <c r="A2" s="23" t="s">
        <v>23</v>
      </c>
      <c r="B2" s="19">
        <f>VLOOKUP(B1,A6:C8,2,FALSE)</f>
        <v>0.12</v>
      </c>
    </row>
    <row r="3" spans="1:4" ht="14.4" thickBot="1" x14ac:dyDescent="0.3">
      <c r="A3" s="24" t="s">
        <v>24</v>
      </c>
      <c r="B3" s="21">
        <f>VLOOKUP(B1,A6:C8,3,FALSE)</f>
        <v>0.1</v>
      </c>
    </row>
    <row r="4" spans="1:4" ht="14.4" thickBot="1" x14ac:dyDescent="0.3"/>
    <row r="5" spans="1:4" x14ac:dyDescent="0.25">
      <c r="A5" s="22" t="s">
        <v>16</v>
      </c>
      <c r="B5" s="25" t="s">
        <v>17</v>
      </c>
      <c r="C5" s="26" t="s">
        <v>18</v>
      </c>
    </row>
    <row r="6" spans="1:4" x14ac:dyDescent="0.25">
      <c r="A6" s="18" t="s">
        <v>19</v>
      </c>
      <c r="B6" s="27">
        <v>0.08</v>
      </c>
      <c r="C6" s="28">
        <v>0.14000000000000001</v>
      </c>
    </row>
    <row r="7" spans="1:4" x14ac:dyDescent="0.25">
      <c r="A7" s="18" t="s">
        <v>20</v>
      </c>
      <c r="B7" s="27">
        <v>0.1</v>
      </c>
      <c r="C7" s="28">
        <v>0.12</v>
      </c>
    </row>
    <row r="8" spans="1:4" ht="14.4" thickBot="1" x14ac:dyDescent="0.3">
      <c r="A8" s="20" t="s">
        <v>21</v>
      </c>
      <c r="B8" s="29">
        <v>0.12</v>
      </c>
      <c r="C8" s="30">
        <v>0.1</v>
      </c>
    </row>
  </sheetData>
  <dataValidations count="1">
    <dataValidation type="list" allowBlank="1" showInputMessage="1" showErrorMessage="1" sqref="B1" xr:uid="{EB124850-49CD-4ED6-9A68-3839CB610C8B}">
      <formula1>"Bear,Base,Bull"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DCF_Model</vt:lpstr>
      <vt:lpstr>Scenario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Hegde</dc:creator>
  <cp:lastModifiedBy>Shashank Hegde</cp:lastModifiedBy>
  <dcterms:created xsi:type="dcterms:W3CDTF">2026-04-18T10:37:23Z</dcterms:created>
  <dcterms:modified xsi:type="dcterms:W3CDTF">2026-04-19T09:01:36Z</dcterms:modified>
</cp:coreProperties>
</file>