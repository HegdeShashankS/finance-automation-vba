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29BCE3F5-ABE1-4E27-AD72-BACAE7EC2FFB}" xr6:coauthVersionLast="47" xr6:coauthVersionMax="47" xr10:uidLastSave="{00000000-0000-0000-0000-000000000000}"/>
  <bookViews>
    <workbookView xWindow="-108" yWindow="-108" windowWidth="23256" windowHeight="12456" activeTab="3" xr2:uid="{A0D805F0-6194-4630-B7FC-1608C7FA4F6F}"/>
  </bookViews>
  <sheets>
    <sheet name="Stock Screener (Raw)" sheetId="1" r:id="rId1"/>
    <sheet name="Stock Screener (Cal)" sheetId="2" r:id="rId2"/>
    <sheet name="Stock Screener" sheetId="3" r:id="rId3"/>
    <sheet name="Strategy Table" sheetId="6" r:id="rId4"/>
    <sheet name="Ranking Engine" sheetId="5" r:id="rId5"/>
    <sheet name="Backtest" sheetId="4" r:id="rId6"/>
  </sheets>
  <definedNames>
    <definedName name="Growth_Weight">'Ranking Engine'!$B$4</definedName>
    <definedName name="PB_Weights">'Ranking Engine'!$B$3</definedName>
    <definedName name="PE_Weight">'Ranking Engine'!$B$2</definedName>
    <definedName name="ROE_Weight">'Ranking Engine'!$B$5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5" l="1"/>
  <c r="B7" i="6"/>
  <c r="B5" i="5" s="1"/>
  <c r="B6" i="6"/>
  <c r="B4" i="5" s="1"/>
  <c r="B5" i="6"/>
  <c r="B3" i="5" s="1"/>
  <c r="B4" i="6"/>
  <c r="B2" i="5" s="1"/>
  <c r="L3" i="4"/>
  <c r="L4" i="4"/>
  <c r="L5" i="4"/>
  <c r="L6" i="4"/>
  <c r="L7" i="4"/>
  <c r="L8" i="4"/>
  <c r="L9" i="4"/>
  <c r="L10" i="4"/>
  <c r="L11" i="4"/>
  <c r="L2" i="4"/>
  <c r="K3" i="4"/>
  <c r="K4" i="4"/>
  <c r="K5" i="4"/>
  <c r="K6" i="4"/>
  <c r="K7" i="4"/>
  <c r="K8" i="4"/>
  <c r="K9" i="4"/>
  <c r="K10" i="4"/>
  <c r="K11" i="4"/>
  <c r="K2" i="4"/>
  <c r="J3" i="4"/>
  <c r="J4" i="4"/>
  <c r="J5" i="4"/>
  <c r="J6" i="4"/>
  <c r="J7" i="4"/>
  <c r="J8" i="4"/>
  <c r="J9" i="4"/>
  <c r="J10" i="4"/>
  <c r="J11" i="4"/>
  <c r="J2" i="4"/>
  <c r="F3" i="4"/>
  <c r="G3" i="4"/>
  <c r="H3" i="4"/>
  <c r="I3" i="4"/>
  <c r="F4" i="4"/>
  <c r="G4" i="4"/>
  <c r="H4" i="4"/>
  <c r="I4" i="4"/>
  <c r="F5" i="4"/>
  <c r="G5" i="4"/>
  <c r="H5" i="4"/>
  <c r="I5" i="4"/>
  <c r="F6" i="4"/>
  <c r="G6" i="4"/>
  <c r="H6" i="4"/>
  <c r="I6" i="4"/>
  <c r="F7" i="4"/>
  <c r="G7" i="4"/>
  <c r="H7" i="4"/>
  <c r="I7" i="4"/>
  <c r="F8" i="4"/>
  <c r="G8" i="4"/>
  <c r="H8" i="4"/>
  <c r="I8" i="4"/>
  <c r="F9" i="4"/>
  <c r="G9" i="4"/>
  <c r="H9" i="4"/>
  <c r="I9" i="4"/>
  <c r="F10" i="4"/>
  <c r="G10" i="4"/>
  <c r="H10" i="4"/>
  <c r="I10" i="4"/>
  <c r="F11" i="4"/>
  <c r="G11" i="4"/>
  <c r="H11" i="4"/>
  <c r="I11" i="4"/>
  <c r="G2" i="4"/>
  <c r="H2" i="4"/>
  <c r="I2" i="4"/>
  <c r="F2" i="4"/>
  <c r="O2" i="3"/>
  <c r="O3" i="3"/>
  <c r="O4" i="3"/>
  <c r="O5" i="3"/>
  <c r="O3" i="2"/>
  <c r="O4" i="2"/>
  <c r="O5" i="2"/>
  <c r="O2" i="2"/>
  <c r="I3" i="2"/>
  <c r="I4" i="2"/>
  <c r="J4" i="2" s="1"/>
  <c r="J4" i="3" s="1"/>
  <c r="I5" i="2"/>
  <c r="I2" i="2"/>
  <c r="I2" i="3" s="1"/>
  <c r="A3" i="3"/>
  <c r="B3" i="3"/>
  <c r="C3" i="3"/>
  <c r="D3" i="3"/>
  <c r="E3" i="3"/>
  <c r="F3" i="3"/>
  <c r="G3" i="3"/>
  <c r="H3" i="3"/>
  <c r="I3" i="3"/>
  <c r="K3" i="3"/>
  <c r="L3" i="3"/>
  <c r="M3" i="3"/>
  <c r="N3" i="3"/>
  <c r="A4" i="3"/>
  <c r="B4" i="3"/>
  <c r="C4" i="3"/>
  <c r="D4" i="3"/>
  <c r="E4" i="3"/>
  <c r="F4" i="3"/>
  <c r="G4" i="3"/>
  <c r="H4" i="3"/>
  <c r="I4" i="3"/>
  <c r="K4" i="3"/>
  <c r="L4" i="3"/>
  <c r="M4" i="3"/>
  <c r="N4" i="3"/>
  <c r="A5" i="3"/>
  <c r="B5" i="3"/>
  <c r="C5" i="3"/>
  <c r="D5" i="3"/>
  <c r="E5" i="3"/>
  <c r="F5" i="3"/>
  <c r="G5" i="3"/>
  <c r="H5" i="3"/>
  <c r="I5" i="3"/>
  <c r="K5" i="3"/>
  <c r="L5" i="3"/>
  <c r="M5" i="3"/>
  <c r="N5" i="3"/>
  <c r="K2" i="3"/>
  <c r="L2" i="3"/>
  <c r="M2" i="3"/>
  <c r="N2" i="3"/>
  <c r="B2" i="3"/>
  <c r="C2" i="3"/>
  <c r="D2" i="3"/>
  <c r="E2" i="3"/>
  <c r="F2" i="3"/>
  <c r="G2" i="3"/>
  <c r="H2" i="3"/>
  <c r="A2" i="3"/>
  <c r="J3" i="2"/>
  <c r="J3" i="3" s="1"/>
  <c r="J5" i="2"/>
  <c r="J5" i="3" s="1"/>
  <c r="N3" i="2"/>
  <c r="N4" i="2"/>
  <c r="N5" i="2"/>
  <c r="N2" i="2"/>
  <c r="M3" i="2"/>
  <c r="M4" i="2"/>
  <c r="M5" i="2"/>
  <c r="L3" i="2"/>
  <c r="L4" i="2"/>
  <c r="L5" i="2"/>
  <c r="L2" i="2"/>
  <c r="K3" i="2"/>
  <c r="K4" i="2"/>
  <c r="K5" i="2"/>
  <c r="K2" i="2"/>
  <c r="H3" i="2"/>
  <c r="H4" i="2"/>
  <c r="H5" i="2"/>
  <c r="H2" i="2"/>
  <c r="G3" i="2"/>
  <c r="G4" i="2"/>
  <c r="G5" i="2"/>
  <c r="G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F2" i="2"/>
  <c r="B2" i="2"/>
  <c r="C2" i="2"/>
  <c r="D2" i="2"/>
  <c r="E2" i="2"/>
  <c r="A2" i="2"/>
  <c r="C4" i="5" l="1"/>
  <c r="C3" i="5"/>
  <c r="C2" i="5"/>
  <c r="C5" i="5"/>
  <c r="D5" i="5" s="1"/>
  <c r="E5" i="5" s="1"/>
  <c r="J2" i="2"/>
  <c r="J2" i="3" s="1"/>
  <c r="D4" i="5" l="1"/>
  <c r="E4" i="5" s="1"/>
  <c r="D3" i="5"/>
  <c r="E3" i="5" s="1"/>
  <c r="D2" i="5"/>
  <c r="E2" i="5" s="1"/>
</calcChain>
</file>

<file path=xl/sharedStrings.xml><?xml version="1.0" encoding="utf-8"?>
<sst xmlns="http://schemas.openxmlformats.org/spreadsheetml/2006/main" count="78" uniqueCount="45">
  <si>
    <t>Stock</t>
  </si>
  <si>
    <t>Price</t>
  </si>
  <si>
    <t>EPS</t>
  </si>
  <si>
    <t>Book Value</t>
  </si>
  <si>
    <t>Sales Growth</t>
  </si>
  <si>
    <t>ROE</t>
  </si>
  <si>
    <t>PE</t>
  </si>
  <si>
    <t>PB</t>
  </si>
  <si>
    <t>Score</t>
  </si>
  <si>
    <t>Rank</t>
  </si>
  <si>
    <t>GAIL</t>
  </si>
  <si>
    <t>RELIANCE</t>
  </si>
  <si>
    <t>ONGC</t>
  </si>
  <si>
    <t>IOC</t>
  </si>
  <si>
    <t>PE Rank</t>
  </si>
  <si>
    <t>PB Rank</t>
  </si>
  <si>
    <t>Growth Rank</t>
  </si>
  <si>
    <t>ROE Rank</t>
  </si>
  <si>
    <t>PE Ratio</t>
  </si>
  <si>
    <t>PB Ratio</t>
  </si>
  <si>
    <t>Interpretation</t>
  </si>
  <si>
    <t>Stocks are ranked based on valuation, growth, and quality factors. 
The top-ranked stock offers the best overall combination, while the lowest-ranked stock indicates weaker fundamentals.
This method helps make data-driven investment decisions instead of relying on intution.</t>
  </si>
  <si>
    <t>Decision</t>
  </si>
  <si>
    <t>Date</t>
  </si>
  <si>
    <t>GAIL RET</t>
  </si>
  <si>
    <t>REL RET</t>
  </si>
  <si>
    <t>ONGC RET</t>
  </si>
  <si>
    <t>IOC RET</t>
  </si>
  <si>
    <t>PORTFOLIO RETURN</t>
  </si>
  <si>
    <t>PORTFOLIO VALUE</t>
  </si>
  <si>
    <t>AVERAGE</t>
  </si>
  <si>
    <t>Factor</t>
  </si>
  <si>
    <t>Weight</t>
  </si>
  <si>
    <t>Growth</t>
  </si>
  <si>
    <t>Weighted score</t>
  </si>
  <si>
    <t>Final Rank</t>
  </si>
  <si>
    <t>Strategy</t>
  </si>
  <si>
    <t>Value</t>
  </si>
  <si>
    <t>Balanced</t>
  </si>
  <si>
    <t>Selected Strategy</t>
  </si>
  <si>
    <t>PE Weight</t>
  </si>
  <si>
    <t>PB Weight</t>
  </si>
  <si>
    <t>Growth Weight</t>
  </si>
  <si>
    <t>ROE Weight</t>
  </si>
  <si>
    <t>Current 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</si>
</sst>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 [$₹-4009]\ * #,##0_ ;_ [$₹-4009]\ * \-#,##0_ ;_ [$₹-4009]\ * &quot;-&quot;??_ ;_ @_ 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9" fontId="0" fillId="0" borderId="0" xfId="1" applyFont="1"/>
    <xf numFmtId="164" fontId="0" fillId="0" borderId="0" xfId="0" applyNumberFormat="1"/>
    <xf numFmtId="1" fontId="0" fillId="0" borderId="0" xfId="0" applyNumberFormat="1"/>
    <xf numFmtId="14" fontId="0" fillId="0" borderId="0" xfId="0" applyNumberFormat="1"/>
    <xf numFmtId="165" fontId="0" fillId="0" borderId="0" xfId="1" applyNumberFormat="1" applyFont="1"/>
    <xf numFmtId="1" fontId="0" fillId="0" borderId="0" xfId="1" applyNumberFormat="1" applyFont="1"/>
    <xf numFmtId="165" fontId="0" fillId="0" borderId="0" xfId="0" applyNumberFormat="1"/>
    <xf numFmtId="0" fontId="3" fillId="0" borderId="1" xfId="0" applyFont="1" applyBorder="1"/>
    <xf numFmtId="0" fontId="0" fillId="0" borderId="1" xfId="0" applyBorder="1"/>
    <xf numFmtId="9" fontId="0" fillId="0" borderId="1" xfId="0" applyNumberFormat="1" applyBorder="1"/>
    <xf numFmtId="1" fontId="0" fillId="0" borderId="1" xfId="0" applyNumberFormat="1" applyBorder="1"/>
    <xf numFmtId="0" fontId="0" fillId="0" borderId="0" xfId="0" applyAlignment="1">
      <alignment horizontal="left" wrapText="1"/>
    </xf>
    <xf numFmtId="9" fontId="0" fillId="0" borderId="1" xfId="1" applyFont="1" applyBorder="1"/>
  </cellXfs>
  <cellStyles count="2">
    <cellStyle name="Normal" xfId="0" builtinId="0"/>
    <cellStyle name="Percent" xfId="1" builtinId="5"/>
  </cellStyles>
  <dxfs count="10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64" formatCode="_ [$₹-4009]\ * #,##0_ ;_ [$₹-4009]\ * \-#,##0_ ;_ [$₹-4009]\ * &quot;-&quot;??_ ;_ @_ "/>
    </dxf>
    <dxf>
      <numFmt numFmtId="164" formatCode="_ [$₹-4009]\ * #,##0_ ;_ [$₹-4009]\ * \-#,##0_ ;_ [$₹-4009]\ * &quot;-&quot;??_ ;_ @_ "/>
    </dxf>
    <dxf>
      <numFmt numFmtId="164" formatCode="_ [$₹-4009]\ * #,##0_ ;_ [$₹-4009]\ * \-#,##0_ ;_ [$₹-4009]\ * &quot;-&quot;??_ ;_ @_ "/>
    </dxf>
  </dxfs>
  <tableStyles count="1" defaultTableStyle="TableStyleMedium2" defaultPivotStyle="PivotStyleLight16">
    <tableStyle name="Invisible" pivot="0" table="0" count="0" xr9:uid="{DBD6983B-C77E-46F4-8AC6-0F2F5FEA30D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2C05E9-F0B6-41EE-884E-D2960908E532}" name="Stock_Screener" displayName="Stock_Screener" ref="A1:O5" totalsRowShown="0">
  <tableColumns count="15">
    <tableColumn id="1" xr3:uid="{6ED61419-0265-41F5-A194-7A1103397823}" name="Stock">
      <calculatedColumnFormula>'Stock Screener (Cal)'!A2</calculatedColumnFormula>
    </tableColumn>
    <tableColumn id="2" xr3:uid="{49EBE008-80CB-428E-A83E-8F3B4159377C}" name="Price" dataDxfId="9">
      <calculatedColumnFormula>'Stock Screener (Cal)'!B2</calculatedColumnFormula>
    </tableColumn>
    <tableColumn id="3" xr3:uid="{65F15FFD-534E-4E2B-936B-38E2FF3D2C11}" name="EPS" dataDxfId="8">
      <calculatedColumnFormula>'Stock Screener (Cal)'!C2</calculatedColumnFormula>
    </tableColumn>
    <tableColumn id="4" xr3:uid="{F42AD46C-A38B-46F9-85E6-97AB8FCEFA0F}" name="Book Value" dataDxfId="7">
      <calculatedColumnFormula>'Stock Screener (Cal)'!D2</calculatedColumnFormula>
    </tableColumn>
    <tableColumn id="5" xr3:uid="{00219414-62DE-4560-9DED-6786F5E5CD5B}" name="Sales Growth" dataCellStyle="Percent">
      <calculatedColumnFormula>'Stock Screener (Cal)'!E2</calculatedColumnFormula>
    </tableColumn>
    <tableColumn id="6" xr3:uid="{24CF4416-7501-4EA4-B1BA-3CF0EC9F1928}" name="ROE" dataCellStyle="Percent">
      <calculatedColumnFormula>'Stock Screener (Cal)'!F2</calculatedColumnFormula>
    </tableColumn>
    <tableColumn id="7" xr3:uid="{39E4E902-14C4-411B-B251-B480EED7BCF1}" name="PE Ratio" dataDxfId="6">
      <calculatedColumnFormula>'Stock Screener (Cal)'!G2</calculatedColumnFormula>
    </tableColumn>
    <tableColumn id="8" xr3:uid="{AC29C176-4D75-4185-AD03-12E1876CBF96}" name="PB Ratio" dataDxfId="5">
      <calculatedColumnFormula>'Stock Screener (Cal)'!H2</calculatedColumnFormula>
    </tableColumn>
    <tableColumn id="9" xr3:uid="{546D7800-B747-4C46-9B83-9AFDE508C0C5}" name="Score" dataDxfId="4">
      <calculatedColumnFormula>'Stock Screener (Cal)'!I2</calculatedColumnFormula>
    </tableColumn>
    <tableColumn id="10" xr3:uid="{5D8A110C-A3B4-48E1-BA75-BA5B4D7A3FF7}" name="Rank">
      <calculatedColumnFormula>'Stock Screener (Cal)'!J2</calculatedColumnFormula>
    </tableColumn>
    <tableColumn id="11" xr3:uid="{43212560-0298-4315-A65D-1C2387DB84A2}" name="PE Rank">
      <calculatedColumnFormula>'Stock Screener (Cal)'!K2</calculatedColumnFormula>
    </tableColumn>
    <tableColumn id="12" xr3:uid="{D1AFA0FA-2D12-42D8-A2AB-47A6ADA1618C}" name="PB Rank">
      <calculatedColumnFormula>'Stock Screener (Cal)'!L2</calculatedColumnFormula>
    </tableColumn>
    <tableColumn id="13" xr3:uid="{6725BC9D-100C-484E-A013-A147871FDAA8}" name="Growth Rank">
      <calculatedColumnFormula>'Stock Screener (Cal)'!M2</calculatedColumnFormula>
    </tableColumn>
    <tableColumn id="14" xr3:uid="{E0FD30E9-F368-4887-BBF0-2EF7ACE17FC6}" name="ROE Rank">
      <calculatedColumnFormula>'Stock Screener (Cal)'!N2</calculatedColumnFormula>
    </tableColumn>
    <tableColumn id="15" xr3:uid="{564D832E-97C8-4282-A7E3-B0DF766776F5}" name="Decision" dataDxfId="3">
      <calculatedColumnFormula>'Stock Screener (Cal)'!O2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66FE-A9BD-45A7-A3AC-BD1301E5AAF7}">
  <sheetPr codeName="Sheet1">
    <tabColor rgb="FF00B0F0"/>
  </sheetPr>
  <dimension ref="A1:F5"/>
  <sheetViews>
    <sheetView workbookViewId="0">
      <selection activeCell="G1" sqref="G1:K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10</v>
      </c>
      <c r="B2">
        <v>133</v>
      </c>
      <c r="C2">
        <v>10</v>
      </c>
      <c r="D2">
        <v>80</v>
      </c>
      <c r="E2" s="1">
        <v>0.08</v>
      </c>
      <c r="F2" s="1">
        <v>0.12</v>
      </c>
    </row>
    <row r="3" spans="1:6" x14ac:dyDescent="0.3">
      <c r="A3" t="s">
        <v>11</v>
      </c>
      <c r="B3">
        <v>2900</v>
      </c>
      <c r="C3">
        <v>100</v>
      </c>
      <c r="D3">
        <v>500</v>
      </c>
      <c r="E3" s="1">
        <v>0.12</v>
      </c>
      <c r="F3" s="1">
        <v>0.18</v>
      </c>
    </row>
    <row r="4" spans="1:6" x14ac:dyDescent="0.3">
      <c r="A4" t="s">
        <v>12</v>
      </c>
      <c r="B4">
        <v>250</v>
      </c>
      <c r="C4">
        <v>20</v>
      </c>
      <c r="D4">
        <v>120</v>
      </c>
      <c r="E4" s="1">
        <v>0.06</v>
      </c>
      <c r="F4" s="1">
        <v>0.15</v>
      </c>
    </row>
    <row r="5" spans="1:6" x14ac:dyDescent="0.3">
      <c r="A5" t="s">
        <v>13</v>
      </c>
      <c r="B5">
        <v>140</v>
      </c>
      <c r="C5">
        <v>12</v>
      </c>
      <c r="D5">
        <v>70</v>
      </c>
      <c r="E5" s="1">
        <v>0.05</v>
      </c>
      <c r="F5" s="1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1666A-9029-402D-8289-8D832F49AABB}">
  <sheetPr codeName="Sheet2">
    <tabColor theme="1" tint="4.9989318521683403E-2"/>
  </sheetPr>
  <dimension ref="A1:O5"/>
  <sheetViews>
    <sheetView workbookViewId="0">
      <selection activeCell="I2" sqref="I2"/>
    </sheetView>
  </sheetViews>
  <sheetFormatPr defaultRowHeight="14.4" x14ac:dyDescent="0.3"/>
  <cols>
    <col min="2" max="2" width="10.33203125" bestFit="1" customWidth="1"/>
    <col min="3" max="4" width="9" bestFit="1" customWidth="1"/>
    <col min="15" max="15" width="9.664062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(Raw)'!A2</f>
        <v>GAIL</v>
      </c>
      <c r="B2" s="3">
        <f>'Stock Screener (Raw)'!B2</f>
        <v>133</v>
      </c>
      <c r="C2" s="3">
        <f>'Stock Screener (Raw)'!C2</f>
        <v>10</v>
      </c>
      <c r="D2" s="3">
        <f>'Stock Screener (Raw)'!D2</f>
        <v>80</v>
      </c>
      <c r="E2" s="2">
        <f>'Stock Screener (Raw)'!E2</f>
        <v>0.08</v>
      </c>
      <c r="F2" s="2">
        <f>'Stock Screener (Raw)'!F2</f>
        <v>0.12</v>
      </c>
      <c r="G2">
        <f>B2/C2</f>
        <v>13.3</v>
      </c>
      <c r="H2">
        <f>B2/D2</f>
        <v>1.6625000000000001</v>
      </c>
      <c r="I2" s="4">
        <f>0.3*K2+0.3*L2+0.2*M2+0.2*N2</f>
        <v>1.8</v>
      </c>
      <c r="J2">
        <f>RANK(I2,$I$2:$I$5,1)</f>
        <v>1</v>
      </c>
      <c r="K2">
        <f>RANK(G2,$G$2:$G$5,1)</f>
        <v>3</v>
      </c>
      <c r="L2">
        <f>RANK(H2,$H$2:$H$5,1)</f>
        <v>1</v>
      </c>
      <c r="N2">
        <f>RANK(F2,$F$2:$F$5,0)</f>
        <v>3</v>
      </c>
      <c r="O2" t="str">
        <f>IF(J2=1,"Strong Buy",IF(J2&lt;=2,"Buy",IF(J2&lt;=3,"Hold","Avoid")))</f>
        <v>Strong Buy</v>
      </c>
    </row>
    <row r="3" spans="1:15" x14ac:dyDescent="0.3">
      <c r="A3" t="str">
        <f>'Stock Screener (Raw)'!A3</f>
        <v>RELIANCE</v>
      </c>
      <c r="B3" s="3">
        <f>'Stock Screener (Raw)'!B3</f>
        <v>2900</v>
      </c>
      <c r="C3" s="3">
        <f>'Stock Screener (Raw)'!C3</f>
        <v>100</v>
      </c>
      <c r="D3" s="3">
        <f>'Stock Screener (Raw)'!D3</f>
        <v>500</v>
      </c>
      <c r="E3" s="2">
        <f>'Stock Screener (Raw)'!E3</f>
        <v>0.12</v>
      </c>
      <c r="F3" s="2">
        <f>'Stock Screener (Raw)'!F3</f>
        <v>0.18</v>
      </c>
      <c r="G3">
        <f t="shared" ref="G3:G5" si="0">B3/C3</f>
        <v>29</v>
      </c>
      <c r="H3">
        <f t="shared" ref="H3:H5" si="1">B3/D3</f>
        <v>5.8</v>
      </c>
      <c r="I3" s="4">
        <f t="shared" ref="I3:I5" si="2">0.3*K3+0.3*L3+0.2*M3+0.2*N3</f>
        <v>2.8000000000000003</v>
      </c>
      <c r="J3">
        <f t="shared" ref="J3:J5" si="3">RANK(I3,$I$2:$I$5,1)</f>
        <v>4</v>
      </c>
      <c r="K3">
        <f t="shared" ref="K3:K5" si="4">RANK(G3,$G$2:$G$5,1)</f>
        <v>4</v>
      </c>
      <c r="L3">
        <f t="shared" ref="L3:L5" si="5">RANK(H3,$H$2:$H$5,1)</f>
        <v>4</v>
      </c>
      <c r="M3">
        <f t="shared" ref="M3:M5" si="6">RANK(E3,$E$2:$E$5,0)</f>
        <v>1</v>
      </c>
      <c r="N3">
        <f t="shared" ref="N3:N5" si="7">RANK(F3,$F$2:$F$5,0)</f>
        <v>1</v>
      </c>
      <c r="O3" t="str">
        <f t="shared" ref="O3:O5" si="8">IF(J3=1,"Strong Buy",IF(J3&lt;=2,"Buy",IF(J3&lt;=3,"Hold","Avoid")))</f>
        <v>Avoid</v>
      </c>
    </row>
    <row r="4" spans="1:15" x14ac:dyDescent="0.3">
      <c r="A4" t="str">
        <f>'Stock Screener (Raw)'!A4</f>
        <v>ONGC</v>
      </c>
      <c r="B4" s="3">
        <f>'Stock Screener (Raw)'!B4</f>
        <v>250</v>
      </c>
      <c r="C4" s="3">
        <f>'Stock Screener (Raw)'!C4</f>
        <v>20</v>
      </c>
      <c r="D4" s="3">
        <f>'Stock Screener (Raw)'!D4</f>
        <v>120</v>
      </c>
      <c r="E4" s="2">
        <f>'Stock Screener (Raw)'!E4</f>
        <v>0.06</v>
      </c>
      <c r="F4" s="2">
        <f>'Stock Screener (Raw)'!F4</f>
        <v>0.15</v>
      </c>
      <c r="G4">
        <f t="shared" si="0"/>
        <v>12.5</v>
      </c>
      <c r="H4">
        <f t="shared" si="1"/>
        <v>2.0833333333333335</v>
      </c>
      <c r="I4" s="4">
        <f t="shared" si="2"/>
        <v>2.5</v>
      </c>
      <c r="J4">
        <f t="shared" si="3"/>
        <v>2</v>
      </c>
      <c r="K4">
        <f t="shared" si="4"/>
        <v>2</v>
      </c>
      <c r="L4">
        <f t="shared" si="5"/>
        <v>3</v>
      </c>
      <c r="M4">
        <f t="shared" si="6"/>
        <v>3</v>
      </c>
      <c r="N4">
        <f t="shared" si="7"/>
        <v>2</v>
      </c>
      <c r="O4" t="str">
        <f t="shared" si="8"/>
        <v>Buy</v>
      </c>
    </row>
    <row r="5" spans="1:15" x14ac:dyDescent="0.3">
      <c r="A5" t="str">
        <f>'Stock Screener (Raw)'!A5</f>
        <v>IOC</v>
      </c>
      <c r="B5" s="3">
        <f>'Stock Screener (Raw)'!B5</f>
        <v>140</v>
      </c>
      <c r="C5" s="3">
        <f>'Stock Screener (Raw)'!C5</f>
        <v>12</v>
      </c>
      <c r="D5" s="3">
        <f>'Stock Screener (Raw)'!D5</f>
        <v>70</v>
      </c>
      <c r="E5" s="2">
        <f>'Stock Screener (Raw)'!E5</f>
        <v>0.05</v>
      </c>
      <c r="F5" s="2">
        <f>'Stock Screener (Raw)'!F5</f>
        <v>0.1</v>
      </c>
      <c r="G5">
        <f t="shared" si="0"/>
        <v>11.666666666666666</v>
      </c>
      <c r="H5">
        <f t="shared" si="1"/>
        <v>2</v>
      </c>
      <c r="I5" s="4">
        <f t="shared" si="2"/>
        <v>2.5</v>
      </c>
      <c r="J5">
        <f t="shared" si="3"/>
        <v>2</v>
      </c>
      <c r="K5">
        <f t="shared" si="4"/>
        <v>1</v>
      </c>
      <c r="L5">
        <f t="shared" si="5"/>
        <v>2</v>
      </c>
      <c r="M5">
        <f t="shared" si="6"/>
        <v>4</v>
      </c>
      <c r="N5">
        <f t="shared" si="7"/>
        <v>4</v>
      </c>
      <c r="O5" t="str">
        <f t="shared" si="8"/>
        <v>Buy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D2BEB-711D-42AB-BB81-C12972A5FF48}">
  <sheetPr codeName="Sheet3">
    <tabColor rgb="FF92D050"/>
  </sheetPr>
  <dimension ref="A1:O11"/>
  <sheetViews>
    <sheetView zoomScale="94" workbookViewId="0">
      <selection activeCell="N2" sqref="N2"/>
    </sheetView>
  </sheetViews>
  <sheetFormatPr defaultRowHeight="14.4" x14ac:dyDescent="0.3"/>
  <cols>
    <col min="1" max="1" width="9.109375" bestFit="1" customWidth="1"/>
    <col min="2" max="2" width="10.33203125" bestFit="1" customWidth="1"/>
    <col min="3" max="3" width="8.88671875" bestFit="1" customWidth="1"/>
    <col min="4" max="4" width="12.44140625" customWidth="1"/>
    <col min="5" max="5" width="13.77734375" customWidth="1"/>
    <col min="6" max="6" width="6.33203125" customWidth="1"/>
    <col min="7" max="8" width="12" bestFit="1" customWidth="1"/>
    <col min="9" max="9" width="7.5546875" customWidth="1"/>
    <col min="10" max="10" width="7.109375" customWidth="1"/>
    <col min="11" max="11" width="9.6640625" customWidth="1"/>
    <col min="12" max="12" width="9.77734375" customWidth="1"/>
    <col min="13" max="13" width="13.77734375" customWidth="1"/>
    <col min="14" max="14" width="11" customWidth="1"/>
    <col min="15" max="15" width="10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18</v>
      </c>
      <c r="H1" t="s">
        <v>19</v>
      </c>
      <c r="I1" t="s">
        <v>8</v>
      </c>
      <c r="J1" t="s">
        <v>9</v>
      </c>
      <c r="K1" t="s">
        <v>14</v>
      </c>
      <c r="L1" t="s">
        <v>15</v>
      </c>
      <c r="M1" t="s">
        <v>16</v>
      </c>
      <c r="N1" t="s">
        <v>17</v>
      </c>
      <c r="O1" t="s">
        <v>22</v>
      </c>
    </row>
    <row r="2" spans="1:15" x14ac:dyDescent="0.3">
      <c r="A2" t="str">
        <f>'Stock Screener (Cal)'!A2</f>
        <v>GAIL</v>
      </c>
      <c r="B2" s="3">
        <f>'Stock Screener (Cal)'!B2</f>
        <v>133</v>
      </c>
      <c r="C2" s="3">
        <f>'Stock Screener (Cal)'!C2</f>
        <v>10</v>
      </c>
      <c r="D2" s="3">
        <f>'Stock Screener (Cal)'!D2</f>
        <v>80</v>
      </c>
      <c r="E2" s="2">
        <f>'Stock Screener (Cal)'!E2</f>
        <v>0.08</v>
      </c>
      <c r="F2" s="2">
        <f>'Stock Screener (Cal)'!F2</f>
        <v>0.12</v>
      </c>
      <c r="G2" s="4">
        <f>'Stock Screener (Cal)'!G2</f>
        <v>13.3</v>
      </c>
      <c r="H2" s="4">
        <f>'Stock Screener (Cal)'!H2</f>
        <v>1.6625000000000001</v>
      </c>
      <c r="I2" s="4">
        <f>'Stock Screener (Cal)'!I2</f>
        <v>1.8</v>
      </c>
      <c r="J2">
        <f>'Stock Screener (Cal)'!J2</f>
        <v>1</v>
      </c>
      <c r="K2">
        <f>'Stock Screener (Cal)'!K2</f>
        <v>3</v>
      </c>
      <c r="L2">
        <f>'Stock Screener (Cal)'!L2</f>
        <v>1</v>
      </c>
      <c r="M2">
        <f>'Stock Screener (Cal)'!M2</f>
        <v>0</v>
      </c>
      <c r="N2">
        <f>'Stock Screener (Cal)'!N2</f>
        <v>3</v>
      </c>
      <c r="O2" t="str">
        <f>'Stock Screener (Cal)'!O2</f>
        <v>Strong Buy</v>
      </c>
    </row>
    <row r="3" spans="1:15" x14ac:dyDescent="0.3">
      <c r="A3" t="str">
        <f>'Stock Screener (Cal)'!A3</f>
        <v>RELIANCE</v>
      </c>
      <c r="B3" s="3">
        <f>'Stock Screener (Cal)'!B3</f>
        <v>2900</v>
      </c>
      <c r="C3" s="3">
        <f>'Stock Screener (Cal)'!C3</f>
        <v>100</v>
      </c>
      <c r="D3" s="3">
        <f>'Stock Screener (Cal)'!D3</f>
        <v>500</v>
      </c>
      <c r="E3" s="2">
        <f>'Stock Screener (Cal)'!E3</f>
        <v>0.12</v>
      </c>
      <c r="F3" s="2">
        <f>'Stock Screener (Cal)'!F3</f>
        <v>0.18</v>
      </c>
      <c r="G3" s="4">
        <f>'Stock Screener (Cal)'!G3</f>
        <v>29</v>
      </c>
      <c r="H3" s="4">
        <f>'Stock Screener (Cal)'!H3</f>
        <v>5.8</v>
      </c>
      <c r="I3" s="4">
        <f>'Stock Screener (Cal)'!I3</f>
        <v>2.8000000000000003</v>
      </c>
      <c r="J3">
        <f>'Stock Screener (Cal)'!J3</f>
        <v>4</v>
      </c>
      <c r="K3">
        <f>'Stock Screener (Cal)'!K3</f>
        <v>4</v>
      </c>
      <c r="L3">
        <f>'Stock Screener (Cal)'!L3</f>
        <v>4</v>
      </c>
      <c r="M3">
        <f>'Stock Screener (Cal)'!M3</f>
        <v>1</v>
      </c>
      <c r="N3">
        <f>'Stock Screener (Cal)'!N3</f>
        <v>1</v>
      </c>
      <c r="O3" t="str">
        <f>'Stock Screener (Cal)'!O3</f>
        <v>Avoid</v>
      </c>
    </row>
    <row r="4" spans="1:15" x14ac:dyDescent="0.3">
      <c r="A4" t="str">
        <f>'Stock Screener (Cal)'!A4</f>
        <v>ONGC</v>
      </c>
      <c r="B4" s="3">
        <f>'Stock Screener (Cal)'!B4</f>
        <v>250</v>
      </c>
      <c r="C4" s="3">
        <f>'Stock Screener (Cal)'!C4</f>
        <v>20</v>
      </c>
      <c r="D4" s="3">
        <f>'Stock Screener (Cal)'!D4</f>
        <v>120</v>
      </c>
      <c r="E4" s="2">
        <f>'Stock Screener (Cal)'!E4</f>
        <v>0.06</v>
      </c>
      <c r="F4" s="2">
        <f>'Stock Screener (Cal)'!F4</f>
        <v>0.15</v>
      </c>
      <c r="G4" s="4">
        <f>'Stock Screener (Cal)'!G4</f>
        <v>12.5</v>
      </c>
      <c r="H4" s="4">
        <f>'Stock Screener (Cal)'!H4</f>
        <v>2.0833333333333335</v>
      </c>
      <c r="I4" s="4">
        <f>'Stock Screener (Cal)'!I4</f>
        <v>2.5</v>
      </c>
      <c r="J4">
        <f>'Stock Screener (Cal)'!J4</f>
        <v>2</v>
      </c>
      <c r="K4">
        <f>'Stock Screener (Cal)'!K4</f>
        <v>2</v>
      </c>
      <c r="L4">
        <f>'Stock Screener (Cal)'!L4</f>
        <v>3</v>
      </c>
      <c r="M4">
        <f>'Stock Screener (Cal)'!M4</f>
        <v>3</v>
      </c>
      <c r="N4">
        <f>'Stock Screener (Cal)'!N4</f>
        <v>2</v>
      </c>
      <c r="O4" t="str">
        <f>'Stock Screener (Cal)'!O4</f>
        <v>Buy</v>
      </c>
    </row>
    <row r="5" spans="1:15" x14ac:dyDescent="0.3">
      <c r="A5" t="str">
        <f>'Stock Screener (Cal)'!A5</f>
        <v>IOC</v>
      </c>
      <c r="B5" s="3">
        <f>'Stock Screener (Cal)'!B5</f>
        <v>140</v>
      </c>
      <c r="C5" s="3">
        <f>'Stock Screener (Cal)'!C5</f>
        <v>12</v>
      </c>
      <c r="D5" s="3">
        <f>'Stock Screener (Cal)'!D5</f>
        <v>70</v>
      </c>
      <c r="E5" s="2">
        <f>'Stock Screener (Cal)'!E5</f>
        <v>0.05</v>
      </c>
      <c r="F5" s="2">
        <f>'Stock Screener (Cal)'!F5</f>
        <v>0.1</v>
      </c>
      <c r="G5" s="4">
        <f>'Stock Screener (Cal)'!G5</f>
        <v>11.666666666666666</v>
      </c>
      <c r="H5" s="4">
        <f>'Stock Screener (Cal)'!H5</f>
        <v>2</v>
      </c>
      <c r="I5" s="4">
        <f>'Stock Screener (Cal)'!I5</f>
        <v>2.5</v>
      </c>
      <c r="J5">
        <f>'Stock Screener (Cal)'!J5</f>
        <v>2</v>
      </c>
      <c r="K5">
        <f>'Stock Screener (Cal)'!K5</f>
        <v>1</v>
      </c>
      <c r="L5">
        <f>'Stock Screener (Cal)'!L5</f>
        <v>2</v>
      </c>
      <c r="M5">
        <f>'Stock Screener (Cal)'!M5</f>
        <v>4</v>
      </c>
      <c r="N5">
        <f>'Stock Screener (Cal)'!N5</f>
        <v>4</v>
      </c>
      <c r="O5" t="str">
        <f>'Stock Screener (Cal)'!O5</f>
        <v>Buy</v>
      </c>
    </row>
    <row r="9" spans="1:15" x14ac:dyDescent="0.3">
      <c r="A9" t="s">
        <v>20</v>
      </c>
    </row>
    <row r="11" spans="1:15" ht="44.4" customHeight="1" x14ac:dyDescent="0.3">
      <c r="A11" s="13" t="s">
        <v>21</v>
      </c>
      <c r="B11" s="13"/>
      <c r="C11" s="13"/>
      <c r="D11" s="13"/>
      <c r="E11" s="13"/>
      <c r="F11" s="13"/>
      <c r="G11" s="13"/>
      <c r="H11" s="13"/>
      <c r="I11" s="13"/>
      <c r="J11" s="13"/>
    </row>
  </sheetData>
  <mergeCells count="1">
    <mergeCell ref="A11:J11"/>
  </mergeCells>
  <conditionalFormatting sqref="O1:O1048576">
    <cfRule type="containsText" dxfId="2" priority="2" operator="containsText" text="Buy">
      <formula>NOT(ISERROR(SEARCH("Buy",O1)))</formula>
    </cfRule>
    <cfRule type="containsText" dxfId="1" priority="3" operator="containsText" text="Strong Buy">
      <formula>NOT(ISERROR(SEARCH("Strong Buy",O1)))</formula>
    </cfRule>
  </conditionalFormatting>
  <conditionalFormatting sqref="O3">
    <cfRule type="containsText" dxfId="0" priority="1" operator="containsText" text="Avoid">
      <formula>NOT(ISERROR(SEARCH("Avoid",O3)))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7579-6FDE-4A35-B891-BB6580C04D3F}">
  <dimension ref="A1:H7"/>
  <sheetViews>
    <sheetView showGridLines="0" tabSelected="1" workbookViewId="0">
      <selection activeCell="E14" sqref="E14"/>
    </sheetView>
  </sheetViews>
  <sheetFormatPr defaultRowHeight="14.4" x14ac:dyDescent="0.3"/>
  <cols>
    <col min="1" max="1" width="13.44140625" bestFit="1" customWidth="1"/>
    <col min="2" max="2" width="15.109375" bestFit="1" customWidth="1"/>
  </cols>
  <sheetData>
    <row r="1" spans="1:8" x14ac:dyDescent="0.3">
      <c r="B1" s="9" t="s">
        <v>39</v>
      </c>
      <c r="D1" s="9" t="s">
        <v>36</v>
      </c>
      <c r="E1" s="9" t="s">
        <v>6</v>
      </c>
      <c r="F1" s="9" t="s">
        <v>7</v>
      </c>
      <c r="G1" s="9" t="s">
        <v>33</v>
      </c>
      <c r="H1" s="9" t="s">
        <v>5</v>
      </c>
    </row>
    <row r="2" spans="1:8" x14ac:dyDescent="0.3">
      <c r="B2" s="10" t="s">
        <v>33</v>
      </c>
      <c r="D2" s="10" t="s">
        <v>37</v>
      </c>
      <c r="E2" s="11">
        <v>0.4</v>
      </c>
      <c r="F2" s="11">
        <v>0.3</v>
      </c>
      <c r="G2" s="11">
        <v>0.1</v>
      </c>
      <c r="H2" s="11">
        <v>0.2</v>
      </c>
    </row>
    <row r="3" spans="1:8" x14ac:dyDescent="0.3">
      <c r="D3" s="10" t="s">
        <v>33</v>
      </c>
      <c r="E3" s="11">
        <v>0.2</v>
      </c>
      <c r="F3" s="11">
        <v>0.1</v>
      </c>
      <c r="G3" s="11">
        <v>0.4</v>
      </c>
      <c r="H3" s="11">
        <v>0.3</v>
      </c>
    </row>
    <row r="4" spans="1:8" x14ac:dyDescent="0.3">
      <c r="A4" s="9" t="s">
        <v>40</v>
      </c>
      <c r="B4" s="14">
        <f>VLOOKUP(B2,D2:H4,2,FALSE)</f>
        <v>0.2</v>
      </c>
      <c r="D4" s="10" t="s">
        <v>38</v>
      </c>
      <c r="E4" s="11">
        <v>0.25</v>
      </c>
      <c r="F4" s="11">
        <v>0.25</v>
      </c>
      <c r="G4" s="11">
        <v>0.25</v>
      </c>
      <c r="H4" s="11">
        <v>0.25</v>
      </c>
    </row>
    <row r="5" spans="1:8" x14ac:dyDescent="0.3">
      <c r="A5" s="9" t="s">
        <v>41</v>
      </c>
      <c r="B5" s="14">
        <f>VLOOKUP(B2,D2:H4,3,FALSE)</f>
        <v>0.1</v>
      </c>
    </row>
    <row r="6" spans="1:8" x14ac:dyDescent="0.3">
      <c r="A6" s="9" t="s">
        <v>42</v>
      </c>
      <c r="B6" s="14">
        <f>VLOOKUP(B2,D2:H4,4,FALSE)</f>
        <v>0.4</v>
      </c>
    </row>
    <row r="7" spans="1:8" x14ac:dyDescent="0.3">
      <c r="A7" s="9" t="s">
        <v>43</v>
      </c>
      <c r="B7" s="14">
        <f>VLOOKUP(B2,D2:H4,5,FALSE)</f>
        <v>0.3</v>
      </c>
    </row>
  </sheetData>
  <dataValidations count="1">
    <dataValidation type="list" allowBlank="1" showInputMessage="1" showErrorMessage="1" sqref="B2" xr:uid="{7BD9FCDA-C997-4316-9097-FBA945889363}">
      <formula1>"Value,Growth,Balanced"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7E2E9-CDF9-40CA-A049-CC94759BD22A}">
  <dimension ref="A1:H5"/>
  <sheetViews>
    <sheetView showGridLines="0" workbookViewId="0">
      <selection activeCell="G2" sqref="G2:H2"/>
    </sheetView>
  </sheetViews>
  <sheetFormatPr defaultRowHeight="14.4" x14ac:dyDescent="0.3"/>
  <cols>
    <col min="3" max="3" width="13.77734375" bestFit="1" customWidth="1"/>
    <col min="5" max="5" width="9.6640625" bestFit="1" customWidth="1"/>
    <col min="7" max="7" width="14.33203125" bestFit="1" customWidth="1"/>
  </cols>
  <sheetData>
    <row r="1" spans="1:8" x14ac:dyDescent="0.3">
      <c r="A1" s="9" t="s">
        <v>31</v>
      </c>
      <c r="B1" s="9" t="s">
        <v>32</v>
      </c>
      <c r="C1" s="9" t="s">
        <v>34</v>
      </c>
      <c r="D1" s="9" t="s">
        <v>35</v>
      </c>
      <c r="E1" s="9" t="s">
        <v>22</v>
      </c>
    </row>
    <row r="2" spans="1:8" x14ac:dyDescent="0.3">
      <c r="A2" s="10" t="s">
        <v>6</v>
      </c>
      <c r="B2" s="11">
        <f>'Strategy Table'!B4</f>
        <v>0.2</v>
      </c>
      <c r="C2" s="12">
        <f>Stock_Screener[[#This Row],[PE Rank]]*PE_Weight+Stock_Screener[[#This Row],[PB Rank]]*PB_Weights+Stock_Screener[[#This Row],[Growth Rank]]*Growth_Weight+Stock_Screener[[#This Row],[ROE Rank]]*ROE_Weight</f>
        <v>1.6</v>
      </c>
      <c r="D2" s="10">
        <f>_xlfn.RANK.EQ(C2,$C$2:$C$5,1)</f>
        <v>1</v>
      </c>
      <c r="E2" s="10" t="str">
        <f>IF(D2=1,"Strong Buy",IF(D2=2,"Buy",IF(D2=3,"Hold","Avoid")))</f>
        <v>Strong Buy</v>
      </c>
      <c r="G2" s="10" t="s">
        <v>44</v>
      </c>
      <c r="H2" s="10" t="str">
        <f>'Strategy Table'!B2</f>
        <v>Growth</v>
      </c>
    </row>
    <row r="3" spans="1:8" x14ac:dyDescent="0.3">
      <c r="A3" s="10" t="s">
        <v>7</v>
      </c>
      <c r="B3" s="11">
        <f>'Strategy Table'!B5</f>
        <v>0.1</v>
      </c>
      <c r="C3" s="12">
        <f>Stock_Screener[[#This Row],[PE Rank]]*PE_Weight+Stock_Screener[[#This Row],[PB Rank]]*PB_Weights+Stock_Screener[[#This Row],[Growth Rank]]*Growth_Weight+Stock_Screener[[#This Row],[ROE Rank]]*ROE_Weight</f>
        <v>1.9000000000000001</v>
      </c>
      <c r="D3" s="10">
        <f t="shared" ref="D3:D5" si="0">_xlfn.RANK.EQ(C3,$C$2:$C$5,1)</f>
        <v>2</v>
      </c>
      <c r="E3" s="10" t="str">
        <f t="shared" ref="E3:E5" si="1">IF(D3=1,"Strong Buy",IF(D3=2,"Buy",IF(D3=3,"Hold","Avoid")))</f>
        <v>Buy</v>
      </c>
    </row>
    <row r="4" spans="1:8" x14ac:dyDescent="0.3">
      <c r="A4" s="10" t="s">
        <v>33</v>
      </c>
      <c r="B4" s="11">
        <f>'Strategy Table'!B6</f>
        <v>0.4</v>
      </c>
      <c r="C4" s="12">
        <f>Stock_Screener[[#This Row],[PE Rank]]*PE_Weight+Stock_Screener[[#This Row],[PB Rank]]*PB_Weights+Stock_Screener[[#This Row],[Growth Rank]]*Growth_Weight+Stock_Screener[[#This Row],[ROE Rank]]*ROE_Weight</f>
        <v>2.5000000000000004</v>
      </c>
      <c r="D4" s="10">
        <f t="shared" si="0"/>
        <v>3</v>
      </c>
      <c r="E4" s="10" t="str">
        <f t="shared" si="1"/>
        <v>Hold</v>
      </c>
    </row>
    <row r="5" spans="1:8" x14ac:dyDescent="0.3">
      <c r="A5" s="10" t="s">
        <v>5</v>
      </c>
      <c r="B5" s="11">
        <f>'Strategy Table'!B7</f>
        <v>0.3</v>
      </c>
      <c r="C5" s="12">
        <f>Stock_Screener[[#This Row],[PE Rank]]*PE_Weight+Stock_Screener[[#This Row],[PB Rank]]*PB_Weights+Stock_Screener[[#This Row],[Growth Rank]]*Growth_Weight+Stock_Screener[[#This Row],[ROE Rank]]*ROE_Weight</f>
        <v>3.2</v>
      </c>
      <c r="D5" s="10">
        <f t="shared" si="0"/>
        <v>4</v>
      </c>
      <c r="E5" s="10" t="str">
        <f t="shared" si="1"/>
        <v>Avoid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0D6-F3FE-4645-976C-1AB14D7349B0}">
  <dimension ref="A1:M11"/>
  <sheetViews>
    <sheetView workbookViewId="0"/>
  </sheetViews>
  <sheetFormatPr defaultRowHeight="14.4" x14ac:dyDescent="0.3"/>
  <cols>
    <col min="1" max="1" width="9.5546875" bestFit="1" customWidth="1"/>
    <col min="10" max="10" width="18" bestFit="1" customWidth="1"/>
    <col min="11" max="11" width="16.44140625" bestFit="1" customWidth="1"/>
  </cols>
  <sheetData>
    <row r="1" spans="1:13" x14ac:dyDescent="0.3">
      <c r="A1" t="s">
        <v>23</v>
      </c>
      <c r="B1" t="s">
        <v>10</v>
      </c>
      <c r="C1" t="s">
        <v>11</v>
      </c>
      <c r="D1" t="s">
        <v>12</v>
      </c>
      <c r="E1" t="s">
        <v>13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</row>
    <row r="2" spans="1:13" x14ac:dyDescent="0.3">
      <c r="A2" s="5">
        <v>46129</v>
      </c>
      <c r="B2">
        <v>130</v>
      </c>
      <c r="C2">
        <v>2900</v>
      </c>
      <c r="D2">
        <v>250</v>
      </c>
      <c r="E2">
        <v>140</v>
      </c>
      <c r="F2" s="6">
        <f>(B3/B2)-1</f>
        <v>1.538461538461533E-2</v>
      </c>
      <c r="G2" s="6">
        <f t="shared" ref="G2:I2" si="0">(C3/C2)-1</f>
        <v>6.8965517241379448E-3</v>
      </c>
      <c r="H2" s="6">
        <f t="shared" si="0"/>
        <v>8.0000000000000071E-3</v>
      </c>
      <c r="I2" s="6">
        <f t="shared" si="0"/>
        <v>-7.1428571428571175E-3</v>
      </c>
      <c r="J2" s="6">
        <f>0.5*F2+0.5*H2</f>
        <v>1.1692307692307669E-2</v>
      </c>
      <c r="K2" s="7">
        <f>$M$2*(1+J2)</f>
        <v>101.16923076923077</v>
      </c>
      <c r="L2" s="8">
        <f>AVERAGE(F2:I2)</f>
        <v>5.7845774914740411E-3</v>
      </c>
      <c r="M2">
        <v>100</v>
      </c>
    </row>
    <row r="3" spans="1:13" x14ac:dyDescent="0.3">
      <c r="A3" s="5">
        <v>46132</v>
      </c>
      <c r="B3">
        <v>132</v>
      </c>
      <c r="C3">
        <v>2920</v>
      </c>
      <c r="D3">
        <v>252</v>
      </c>
      <c r="E3">
        <v>139</v>
      </c>
      <c r="F3" s="6">
        <f t="shared" ref="F3:F11" si="1">(B4/B3)-1</f>
        <v>-7.575757575757569E-3</v>
      </c>
      <c r="G3" s="6">
        <f t="shared" ref="G3:G11" si="2">(C4/C3)-1</f>
        <v>-3.424657534246589E-3</v>
      </c>
      <c r="H3" s="6">
        <f t="shared" ref="H3:H11" si="3">(D4/D3)-1</f>
        <v>-3.9682539682539542E-3</v>
      </c>
      <c r="I3" s="6">
        <f t="shared" ref="I3:I11" si="4">(E4/E3)-1</f>
        <v>-7.194244604316502E-3</v>
      </c>
      <c r="J3" s="6">
        <f t="shared" ref="J3:J11" si="5">0.5*F3+0.5*H3</f>
        <v>-5.7720057720057616E-3</v>
      </c>
      <c r="K3" s="7">
        <f t="shared" ref="K3:K11" si="6">$M$2*(1+J3)</f>
        <v>99.422799422799429</v>
      </c>
      <c r="L3" s="8">
        <f t="shared" ref="L3:L11" si="7">AVERAGE(F3:I3)</f>
        <v>-5.5407284206436536E-3</v>
      </c>
    </row>
    <row r="4" spans="1:13" x14ac:dyDescent="0.3">
      <c r="A4" s="5">
        <v>46133</v>
      </c>
      <c r="B4">
        <v>131</v>
      </c>
      <c r="C4">
        <v>2910</v>
      </c>
      <c r="D4">
        <v>251</v>
      </c>
      <c r="E4">
        <v>138</v>
      </c>
      <c r="F4" s="6">
        <f t="shared" si="1"/>
        <v>2.2900763358778553E-2</v>
      </c>
      <c r="G4" s="6">
        <f t="shared" si="2"/>
        <v>8.5910652920961894E-3</v>
      </c>
      <c r="H4" s="6">
        <f t="shared" si="3"/>
        <v>1.195219123505975E-2</v>
      </c>
      <c r="I4" s="6">
        <f t="shared" si="4"/>
        <v>1.449275362318847E-2</v>
      </c>
      <c r="J4" s="6">
        <f t="shared" si="5"/>
        <v>1.7426477296919152E-2</v>
      </c>
      <c r="K4" s="7">
        <f t="shared" si="6"/>
        <v>101.74264772969192</v>
      </c>
      <c r="L4" s="8">
        <f t="shared" si="7"/>
        <v>1.4484193377280741E-2</v>
      </c>
    </row>
    <row r="5" spans="1:13" x14ac:dyDescent="0.3">
      <c r="A5" s="5">
        <v>46134</v>
      </c>
      <c r="B5">
        <v>134</v>
      </c>
      <c r="C5">
        <v>2935</v>
      </c>
      <c r="D5">
        <v>254</v>
      </c>
      <c r="E5">
        <v>140</v>
      </c>
      <c r="F5" s="6">
        <f t="shared" si="1"/>
        <v>1.4925373134328401E-2</v>
      </c>
      <c r="G5" s="6">
        <f t="shared" si="2"/>
        <v>5.110732538330387E-3</v>
      </c>
      <c r="H5" s="6">
        <f t="shared" si="3"/>
        <v>7.8740157480314821E-3</v>
      </c>
      <c r="I5" s="6">
        <f t="shared" si="4"/>
        <v>1.4285714285714235E-2</v>
      </c>
      <c r="J5" s="6">
        <f t="shared" si="5"/>
        <v>1.1399694441179942E-2</v>
      </c>
      <c r="K5" s="7">
        <f t="shared" si="6"/>
        <v>101.13996944411801</v>
      </c>
      <c r="L5" s="8">
        <f t="shared" si="7"/>
        <v>1.0548958926601126E-2</v>
      </c>
    </row>
    <row r="6" spans="1:13" x14ac:dyDescent="0.3">
      <c r="A6" s="5">
        <v>46135</v>
      </c>
      <c r="B6">
        <v>136</v>
      </c>
      <c r="C6">
        <v>2950</v>
      </c>
      <c r="D6">
        <v>256</v>
      </c>
      <c r="E6">
        <v>142</v>
      </c>
      <c r="F6" s="6">
        <f t="shared" si="1"/>
        <v>-7.3529411764705621E-3</v>
      </c>
      <c r="G6" s="6">
        <f t="shared" si="2"/>
        <v>-3.3898305084745228E-3</v>
      </c>
      <c r="H6" s="6">
        <f t="shared" si="3"/>
        <v>-3.90625E-3</v>
      </c>
      <c r="I6" s="6">
        <f t="shared" si="4"/>
        <v>-7.0422535211267512E-3</v>
      </c>
      <c r="J6" s="6">
        <f t="shared" si="5"/>
        <v>-5.6295955882352811E-3</v>
      </c>
      <c r="K6" s="7">
        <f t="shared" si="6"/>
        <v>99.437040441176478</v>
      </c>
      <c r="L6" s="8">
        <f t="shared" si="7"/>
        <v>-5.422818801517959E-3</v>
      </c>
    </row>
    <row r="7" spans="1:13" x14ac:dyDescent="0.3">
      <c r="A7" s="5">
        <v>46136</v>
      </c>
      <c r="B7">
        <v>135</v>
      </c>
      <c r="C7">
        <v>2940</v>
      </c>
      <c r="D7">
        <v>255</v>
      </c>
      <c r="E7">
        <v>141</v>
      </c>
      <c r="F7" s="6">
        <f t="shared" si="1"/>
        <v>2.2222222222222143E-2</v>
      </c>
      <c r="G7" s="6">
        <f t="shared" si="2"/>
        <v>8.5034013605442826E-3</v>
      </c>
      <c r="H7" s="6">
        <f t="shared" si="3"/>
        <v>1.1764705882352899E-2</v>
      </c>
      <c r="I7" s="6">
        <f t="shared" si="4"/>
        <v>1.4184397163120588E-2</v>
      </c>
      <c r="J7" s="6">
        <f t="shared" si="5"/>
        <v>1.6993464052287521E-2</v>
      </c>
      <c r="K7" s="7">
        <f t="shared" si="6"/>
        <v>101.69934640522875</v>
      </c>
      <c r="L7" s="8">
        <f t="shared" si="7"/>
        <v>1.4168681657059978E-2</v>
      </c>
    </row>
    <row r="8" spans="1:13" x14ac:dyDescent="0.3">
      <c r="A8" s="5">
        <v>46139</v>
      </c>
      <c r="B8">
        <v>138</v>
      </c>
      <c r="C8">
        <v>2965</v>
      </c>
      <c r="D8">
        <v>258</v>
      </c>
      <c r="E8">
        <v>143</v>
      </c>
      <c r="F8" s="6">
        <f t="shared" si="1"/>
        <v>1.449275362318847E-2</v>
      </c>
      <c r="G8" s="6">
        <f t="shared" si="2"/>
        <v>5.0590219224282418E-3</v>
      </c>
      <c r="H8" s="6">
        <f t="shared" si="3"/>
        <v>7.7519379844961378E-3</v>
      </c>
      <c r="I8" s="6">
        <f t="shared" si="4"/>
        <v>6.9930069930070893E-3</v>
      </c>
      <c r="J8" s="6">
        <f t="shared" si="5"/>
        <v>1.1122345803842304E-2</v>
      </c>
      <c r="K8" s="7">
        <f t="shared" si="6"/>
        <v>101.11223458038423</v>
      </c>
      <c r="L8" s="8">
        <f t="shared" si="7"/>
        <v>8.5741801307799848E-3</v>
      </c>
    </row>
    <row r="9" spans="1:13" x14ac:dyDescent="0.3">
      <c r="A9" s="5">
        <v>46140</v>
      </c>
      <c r="B9">
        <v>140</v>
      </c>
      <c r="C9">
        <v>2980</v>
      </c>
      <c r="D9">
        <v>260</v>
      </c>
      <c r="E9">
        <v>144</v>
      </c>
      <c r="F9" s="6">
        <f t="shared" si="1"/>
        <v>-7.1428571428571175E-3</v>
      </c>
      <c r="G9" s="6">
        <f t="shared" si="2"/>
        <v>-3.3557046979866278E-3</v>
      </c>
      <c r="H9" s="6">
        <f t="shared" si="3"/>
        <v>-3.8461538461538325E-3</v>
      </c>
      <c r="I9" s="6">
        <f t="shared" si="4"/>
        <v>-6.9444444444444198E-3</v>
      </c>
      <c r="J9" s="6">
        <f t="shared" si="5"/>
        <v>-5.494505494505475E-3</v>
      </c>
      <c r="K9" s="7">
        <f t="shared" si="6"/>
        <v>99.45054945054946</v>
      </c>
      <c r="L9" s="8">
        <f t="shared" si="7"/>
        <v>-5.3222900328604994E-3</v>
      </c>
    </row>
    <row r="10" spans="1:13" x14ac:dyDescent="0.3">
      <c r="A10" s="5">
        <v>46141</v>
      </c>
      <c r="B10">
        <v>139</v>
      </c>
      <c r="C10">
        <v>2970</v>
      </c>
      <c r="D10">
        <v>259</v>
      </c>
      <c r="E10">
        <v>143</v>
      </c>
      <c r="F10" s="6">
        <f t="shared" si="1"/>
        <v>2.1582733812949728E-2</v>
      </c>
      <c r="G10" s="6">
        <f t="shared" si="2"/>
        <v>1.0101010101010166E-2</v>
      </c>
      <c r="H10" s="6">
        <f t="shared" si="3"/>
        <v>1.158301158301156E-2</v>
      </c>
      <c r="I10" s="6">
        <f t="shared" si="4"/>
        <v>1.3986013986013957E-2</v>
      </c>
      <c r="J10" s="6">
        <f t="shared" si="5"/>
        <v>1.6582872697980644E-2</v>
      </c>
      <c r="K10" s="7">
        <f t="shared" si="6"/>
        <v>101.65828726979807</v>
      </c>
      <c r="L10" s="8">
        <f t="shared" si="7"/>
        <v>1.4313192370746353E-2</v>
      </c>
    </row>
    <row r="11" spans="1:13" x14ac:dyDescent="0.3">
      <c r="A11" s="5">
        <v>46142</v>
      </c>
      <c r="B11">
        <v>142</v>
      </c>
      <c r="C11">
        <v>3000</v>
      </c>
      <c r="D11">
        <v>262</v>
      </c>
      <c r="E11">
        <v>145</v>
      </c>
      <c r="F11" s="6">
        <f t="shared" si="1"/>
        <v>-1</v>
      </c>
      <c r="G11" s="6">
        <f t="shared" si="2"/>
        <v>-1</v>
      </c>
      <c r="H11" s="6">
        <f t="shared" si="3"/>
        <v>-1</v>
      </c>
      <c r="I11" s="6">
        <f t="shared" si="4"/>
        <v>-1</v>
      </c>
      <c r="J11" s="6">
        <f t="shared" si="5"/>
        <v>-1</v>
      </c>
      <c r="K11" s="7">
        <f t="shared" si="6"/>
        <v>0</v>
      </c>
      <c r="L11" s="8">
        <f t="shared" si="7"/>
        <v>-1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Stock Screener (Raw)</vt:lpstr>
      <vt:lpstr>Stock Screener (Cal)</vt:lpstr>
      <vt:lpstr>Stock Screener</vt:lpstr>
      <vt:lpstr>Strategy Table</vt:lpstr>
      <vt:lpstr>Ranking Engine</vt:lpstr>
      <vt:lpstr>Backtest</vt:lpstr>
      <vt:lpstr>Growth_Weight</vt:lpstr>
      <vt:lpstr>PB_Weights</vt:lpstr>
      <vt:lpstr>PE_Weight</vt:lpstr>
      <vt:lpstr>ROE_Weight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2026-04-16T03:25:40Z</dcterms:created>
  <dcterms:modified xsi:type="dcterms:W3CDTF">2026-04-22T14:15:12Z</dcterms:modified>
</cp:coreProperties>
</file>