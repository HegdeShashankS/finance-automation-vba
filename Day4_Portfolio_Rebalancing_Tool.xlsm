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2" documentId="8_{2DEA89C1-C514-49A8-B739-375BFE09679B}" xr6:coauthVersionLast="47" xr6:coauthVersionMax="47" xr10:uidLastSave="{CC3B5298-8300-4F1B-A870-561CECDBE911}"/>
  <bookViews>
    <workbookView xWindow="-108" yWindow="-108" windowWidth="23256" windowHeight="12456" xr2:uid="{25F497B3-B6BC-49DC-84D5-53124F640287}"/>
  </bookViews>
  <sheets>
    <sheet name="Portfoli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2" i="1"/>
</calcChain>
</file>

<file path=xl/sharedStrings.xml><?xml version="1.0" encoding="utf-8"?>
<sst xmlns="http://schemas.openxmlformats.org/spreadsheetml/2006/main" count="35" uniqueCount="26">
  <si>
    <t>Stock</t>
  </si>
  <si>
    <t>Qty</t>
  </si>
  <si>
    <t>Avg Price</t>
  </si>
  <si>
    <t>LTP</t>
  </si>
  <si>
    <t>Investment</t>
  </si>
  <si>
    <t>Current Value</t>
  </si>
  <si>
    <t>Return %</t>
  </si>
  <si>
    <t>GAIL</t>
  </si>
  <si>
    <t>CANBK</t>
  </si>
  <si>
    <t>IEX</t>
  </si>
  <si>
    <t>IRFC</t>
  </si>
  <si>
    <t>ITC</t>
  </si>
  <si>
    <t>NIFTYBEES</t>
  </si>
  <si>
    <t>NSDL</t>
  </si>
  <si>
    <t>SAIL</t>
  </si>
  <si>
    <t>Insight</t>
  </si>
  <si>
    <t xml:space="preserve">Underperforming </t>
  </si>
  <si>
    <t xml:space="preserve">Mild Loss </t>
  </si>
  <si>
    <t xml:space="preserve">Positive </t>
  </si>
  <si>
    <t xml:space="preserve">Underperforming  Worst </t>
  </si>
  <si>
    <t xml:space="preserve">Strong Performer  Best </t>
  </si>
  <si>
    <t>Allocation %</t>
  </si>
  <si>
    <t>Target %</t>
  </si>
  <si>
    <t>Action</t>
  </si>
  <si>
    <t>Buy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</si>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</sst>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6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mbria"/>
      <family val="1"/>
    </font>
    <font>
      <sz val="10"/>
      <color theme="1"/>
      <name val="Cambria"/>
      <family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10" fontId="2" fillId="0" borderId="1" xfId="0" applyNumberFormat="1" applyFont="1" applyBorder="1"/>
    <xf numFmtId="10" fontId="3" fillId="0" borderId="1" xfId="1" applyNumberFormat="1" applyFont="1" applyBorder="1"/>
    <xf numFmtId="10" fontId="0" fillId="0" borderId="0" xfId="0" applyNumberFormat="1"/>
    <xf numFmtId="0" fontId="2" fillId="0" borderId="1" xfId="0" applyFont="1" applyFill="1" applyBorder="1"/>
    <xf numFmtId="0" fontId="0" fillId="0" borderId="1" xfId="0" applyBorder="1"/>
    <xf numFmtId="10" fontId="0" fillId="0" borderId="1" xfId="0" applyNumberFormat="1" applyBorder="1"/>
    <xf numFmtId="166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EC5448DE-50E1-41D6-BF52-92AE056FB2E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10</xdr:row>
          <xdr:rowOff>91440</xdr:rowOff>
        </xdr:from>
        <xdr:to>
          <xdr:col>7</xdr:col>
          <xdr:colOff>579120</xdr:colOff>
          <xdr:row>12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75882-4BBE-4F87-BE68-D2147040E8B9}">
  <sheetPr codeName="Sheet1"/>
  <dimension ref="A1:K9"/>
  <sheetViews>
    <sheetView showGridLines="0" tabSelected="1" workbookViewId="0"/>
  </sheetViews>
  <sheetFormatPr defaultRowHeight="14.4" x14ac:dyDescent="0.3"/>
  <cols>
    <col min="1" max="5" width="12.33203125" customWidth="1"/>
    <col min="6" max="6" width="13.21875" bestFit="1" customWidth="1"/>
    <col min="7" max="7" width="12.33203125" style="5" customWidth="1"/>
    <col min="8" max="8" width="21.109375" bestFit="1" customWidth="1"/>
    <col min="9" max="9" width="12.109375" bestFit="1" customWidth="1"/>
    <col min="10" max="10" width="9.109375" bestFit="1" customWidth="1"/>
    <col min="11" max="11" width="6.55468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15</v>
      </c>
      <c r="I1" s="6" t="s">
        <v>21</v>
      </c>
      <c r="J1" s="6" t="s">
        <v>22</v>
      </c>
      <c r="K1" s="6" t="s">
        <v>23</v>
      </c>
    </row>
    <row r="2" spans="1:11" x14ac:dyDescent="0.3">
      <c r="A2" s="2" t="s">
        <v>7</v>
      </c>
      <c r="B2" s="2">
        <v>47</v>
      </c>
      <c r="C2" s="2">
        <v>198.52</v>
      </c>
      <c r="D2" s="2">
        <v>137.19</v>
      </c>
      <c r="E2" s="2">
        <v>9330.44</v>
      </c>
      <c r="F2" s="2">
        <v>6447.93</v>
      </c>
      <c r="G2" s="4">
        <v>-0.30893612734233322</v>
      </c>
      <c r="H2" s="2" t="s">
        <v>19</v>
      </c>
      <c r="I2" s="8">
        <f>F2/SUM($F$2:$F$9)</f>
        <v>0.21456887925477769</v>
      </c>
      <c r="J2" s="9">
        <v>0.1</v>
      </c>
      <c r="K2" s="7" t="s">
        <v>25</v>
      </c>
    </row>
    <row r="3" spans="1:11" x14ac:dyDescent="0.3">
      <c r="A3" s="2" t="s">
        <v>8</v>
      </c>
      <c r="B3" s="2">
        <v>10</v>
      </c>
      <c r="C3" s="2">
        <v>117.5</v>
      </c>
      <c r="D3" s="2">
        <v>130.44999999999999</v>
      </c>
      <c r="E3" s="2">
        <v>1175</v>
      </c>
      <c r="F3" s="2">
        <v>1304.5</v>
      </c>
      <c r="G3" s="4">
        <v>0.11021276595744678</v>
      </c>
      <c r="H3" s="2" t="s">
        <v>20</v>
      </c>
      <c r="I3" s="8">
        <f t="shared" ref="I3:I9" si="0">F3/SUM($F$2:$F$9)</f>
        <v>4.341007160249219E-2</v>
      </c>
      <c r="J3" s="9">
        <v>0.1</v>
      </c>
      <c r="K3" s="7" t="s">
        <v>24</v>
      </c>
    </row>
    <row r="4" spans="1:11" x14ac:dyDescent="0.3">
      <c r="A4" s="2" t="s">
        <v>9</v>
      </c>
      <c r="B4" s="2">
        <v>1</v>
      </c>
      <c r="C4" s="2">
        <v>161.1</v>
      </c>
      <c r="D4" s="2">
        <v>119</v>
      </c>
      <c r="E4" s="2">
        <v>161.1</v>
      </c>
      <c r="F4" s="2">
        <v>119</v>
      </c>
      <c r="G4" s="4">
        <v>-0.26132836747361887</v>
      </c>
      <c r="H4" s="2" t="s">
        <v>16</v>
      </c>
      <c r="I4" s="8">
        <f t="shared" si="0"/>
        <v>3.9599835344550178E-3</v>
      </c>
      <c r="J4" s="9">
        <v>7.4999999999999997E-2</v>
      </c>
      <c r="K4" s="7" t="s">
        <v>24</v>
      </c>
    </row>
    <row r="5" spans="1:11" x14ac:dyDescent="0.3">
      <c r="A5" s="2" t="s">
        <v>10</v>
      </c>
      <c r="B5" s="2">
        <v>20</v>
      </c>
      <c r="C5" s="2">
        <v>127.12</v>
      </c>
      <c r="D5" s="2">
        <v>92.5</v>
      </c>
      <c r="E5" s="2">
        <v>2542.4</v>
      </c>
      <c r="F5" s="2">
        <v>1850</v>
      </c>
      <c r="G5" s="4">
        <v>-0.27234109502831971</v>
      </c>
      <c r="H5" s="2" t="s">
        <v>16</v>
      </c>
      <c r="I5" s="8">
        <f t="shared" si="0"/>
        <v>6.1562769233124232E-2</v>
      </c>
      <c r="J5" s="9">
        <v>0.1</v>
      </c>
      <c r="K5" s="7" t="s">
        <v>24</v>
      </c>
    </row>
    <row r="6" spans="1:11" x14ac:dyDescent="0.3">
      <c r="A6" s="2" t="s">
        <v>11</v>
      </c>
      <c r="B6" s="2">
        <v>7</v>
      </c>
      <c r="C6" s="2">
        <v>413.7</v>
      </c>
      <c r="D6" s="2">
        <v>294.75</v>
      </c>
      <c r="E6" s="2">
        <v>2895.9</v>
      </c>
      <c r="F6" s="2">
        <v>2063.25</v>
      </c>
      <c r="G6" s="4">
        <v>-0.28752719361856416</v>
      </c>
      <c r="H6" s="2" t="s">
        <v>16</v>
      </c>
      <c r="I6" s="8">
        <f t="shared" si="0"/>
        <v>6.8659126281212735E-2</v>
      </c>
      <c r="J6" s="9">
        <v>0.15</v>
      </c>
      <c r="K6" s="7" t="s">
        <v>24</v>
      </c>
    </row>
    <row r="7" spans="1:11" x14ac:dyDescent="0.3">
      <c r="A7" s="2" t="s">
        <v>12</v>
      </c>
      <c r="B7" s="2">
        <v>7</v>
      </c>
      <c r="C7" s="2">
        <v>285.74</v>
      </c>
      <c r="D7" s="2">
        <v>258.95</v>
      </c>
      <c r="E7" s="2">
        <v>2000.18</v>
      </c>
      <c r="F7" s="2">
        <v>1812.6499999999999</v>
      </c>
      <c r="G7" s="4">
        <v>-9.3756561909428271E-2</v>
      </c>
      <c r="H7" s="2" t="s">
        <v>17</v>
      </c>
      <c r="I7" s="8">
        <f t="shared" si="0"/>
        <v>6.0319866838066283E-2</v>
      </c>
      <c r="J7" s="9">
        <v>0.25</v>
      </c>
      <c r="K7" s="7" t="s">
        <v>24</v>
      </c>
    </row>
    <row r="8" spans="1:11" x14ac:dyDescent="0.3">
      <c r="A8" s="2" t="s">
        <v>13</v>
      </c>
      <c r="B8" s="2">
        <v>18</v>
      </c>
      <c r="C8" s="2">
        <v>800</v>
      </c>
      <c r="D8" s="2">
        <v>832.7</v>
      </c>
      <c r="E8" s="2">
        <v>14400</v>
      </c>
      <c r="F8" s="2">
        <v>14988.6</v>
      </c>
      <c r="G8" s="4">
        <v>4.0874999999999995E-2</v>
      </c>
      <c r="H8" s="2" t="s">
        <v>18</v>
      </c>
      <c r="I8" s="8">
        <f t="shared" si="0"/>
        <v>0.49877822860951665</v>
      </c>
      <c r="J8" s="9">
        <v>0.15</v>
      </c>
      <c r="K8" s="7" t="s">
        <v>25</v>
      </c>
    </row>
    <row r="9" spans="1:11" x14ac:dyDescent="0.3">
      <c r="A9" s="2" t="s">
        <v>14</v>
      </c>
      <c r="B9" s="2">
        <v>10</v>
      </c>
      <c r="C9" s="2">
        <v>135.78</v>
      </c>
      <c r="D9" s="2">
        <v>146.47</v>
      </c>
      <c r="E9" s="2">
        <v>1357.8</v>
      </c>
      <c r="F9" s="2">
        <v>1464.7</v>
      </c>
      <c r="G9" s="4">
        <v>7.8730299013109573E-2</v>
      </c>
      <c r="H9" s="2" t="s">
        <v>18</v>
      </c>
      <c r="I9" s="8">
        <f t="shared" si="0"/>
        <v>4.8741074646355166E-2</v>
      </c>
      <c r="J9" s="9">
        <v>7.4999999999999997E-2</v>
      </c>
      <c r="K9" s="7" t="s">
        <v>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rtfolio_Analyzer">
                <anchor moveWithCells="1" sizeWithCells="1">
                  <from>
                    <xdr:col>6</xdr:col>
                    <xdr:colOff>327660</xdr:colOff>
                    <xdr:row>10</xdr:row>
                    <xdr:rowOff>91440</xdr:rowOff>
                  </from>
                  <to>
                    <xdr:col>7</xdr:col>
                    <xdr:colOff>579120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2026-03-28T14:57:36Z</dcterms:created>
  <dcterms:modified xsi:type="dcterms:W3CDTF">2026-03-29T13:39:13Z</dcterms:modified>
</cp:coreProperties>
</file>